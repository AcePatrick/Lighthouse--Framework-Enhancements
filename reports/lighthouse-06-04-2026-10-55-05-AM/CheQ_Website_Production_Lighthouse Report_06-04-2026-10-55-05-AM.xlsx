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Summary" state="visible" r:id="rId4"/>
    <sheet sheetId="7" name="01_Home" state="visible" r:id="rId5"/>
    <sheet sheetId="8" name="02_Testing" state="visible" r:id="rId6"/>
    <sheet sheetId="9" name="03_About" state="visible" r:id="rId7"/>
    <sheet sheetId="10" name="04_News" state="visible" r:id="rId8"/>
    <sheet sheetId="11" name="05_Careers" state="visible" r:id="rId9"/>
    <sheet sheetId="12" name="06_Contact" state="visible" r:id="rId10"/>
    <sheet sheetId="13" name="07_Privacy" state="visible" r:id="rId11"/>
    <sheet sheetId="14" name="08_Game Testing" state="visible" r:id="rId12"/>
    <sheet sheetId="15" name="Formula_Sheet" state="hidden" r:id="rId13"/>
  </sheets>
  <definedNames>
    <definedName name="formulaPerformanceSheet">'Formula_Sheet'!$N$6:$N$35</definedName>
  </definedNames>
  <calcPr calcId="171027"/>
</workbook>
</file>

<file path=xl/sharedStrings.xml><?xml version="1.0" encoding="utf-8"?>
<sst xmlns="http://schemas.openxmlformats.org/spreadsheetml/2006/main" count="515" uniqueCount="123">
  <si>
    <t>Lighthouse Report</t>
  </si>
  <si>
    <t>Websites</t>
  </si>
  <si>
    <t xml:space="preserve">Performance </t>
  </si>
  <si>
    <t>Page</t>
  </si>
  <si>
    <t>Device</t>
  </si>
  <si>
    <t>With Cache</t>
  </si>
  <si>
    <t>Without Cache</t>
  </si>
  <si>
    <t>Analysis Results</t>
  </si>
  <si>
    <t>Jun 4, 2026, 10:55:20 AM</t>
  </si>
  <si>
    <t>Jun 4, 2026, 10:56:37 AM</t>
  </si>
  <si>
    <t>01_Home</t>
  </si>
  <si>
    <t>Desktop</t>
  </si>
  <si>
    <t>Mobile</t>
  </si>
  <si>
    <t>Jun 4, 2026, 10:56:52 AM</t>
  </si>
  <si>
    <t>Jun 4, 2026, 10:58:11 AM</t>
  </si>
  <si>
    <t>02_Testing</t>
  </si>
  <si>
    <t>Jun 4, 2026, 10:58:26 AM</t>
  </si>
  <si>
    <t>Jun 4, 2026, 10:58:57 AM</t>
  </si>
  <si>
    <t>03_About</t>
  </si>
  <si>
    <t>Jun 4, 2026, 10:59:55 AM</t>
  </si>
  <si>
    <t>Jun 4, 2026, 11:01:39 AM</t>
  </si>
  <si>
    <t>04_News</t>
  </si>
  <si>
    <t>Jun 4, 2026, 11:01:55 AM</t>
  </si>
  <si>
    <t>Jun 4, 2026, 11:02:32 AM</t>
  </si>
  <si>
    <t>05_Careers</t>
  </si>
  <si>
    <t>Jun 4, 2026, 11:03:36 AM</t>
  </si>
  <si>
    <t>Jun 4, 2026, 11:05:05 AM</t>
  </si>
  <si>
    <t>06_Contact</t>
  </si>
  <si>
    <t>Jun 4, 2026, 11:05:21 AM</t>
  </si>
  <si>
    <t>Jun 4, 2026, 11:06:36 AM</t>
  </si>
  <si>
    <t>07_Privacy</t>
  </si>
  <si>
    <t>Jun 4, 2026, 11:06:50 AM</t>
  </si>
  <si>
    <t>Jun 4, 2026, 11:08:14 AM</t>
  </si>
  <si>
    <t>08_Game Testing</t>
  </si>
  <si>
    <t>0 to 49</t>
  </si>
  <si>
    <t xml:space="preserve"> Poor</t>
  </si>
  <si>
    <t>50 to 89</t>
  </si>
  <si>
    <t>Needs Improvement</t>
  </si>
  <si>
    <t>90 to 100</t>
  </si>
  <si>
    <t>Good</t>
  </si>
  <si>
    <t>Best Insight</t>
  </si>
  <si>
    <t>URL:</t>
  </si>
  <si>
    <t>Diagnostic:</t>
  </si>
  <si>
    <t xml:space="preserve">Defer offscreen images  </t>
  </si>
  <si>
    <t>Recommendation:</t>
  </si>
  <si>
    <t>Learn how to defer offscreen images</t>
  </si>
  <si>
    <t>Worst Insight</t>
  </si>
  <si>
    <t xml:space="preserve">Largest Contentful Paint element — 9,050 ms </t>
  </si>
  <si>
    <t>Learn more about the Largest Contentful Paint element</t>
  </si>
  <si>
    <t xml:space="preserve">Largest Contentful Paint image was lazily loaded  </t>
  </si>
  <si>
    <t>Learn more about optimal lazy loading</t>
  </si>
  <si>
    <t xml:space="preserve">Properly size images  </t>
  </si>
  <si>
    <t>Learn how to size images</t>
  </si>
  <si>
    <t xml:space="preserve">Eliminate render-blocking resources — Est savings of 1,640 ms </t>
  </si>
  <si>
    <t>Learn how to eliminate render-blocking resources</t>
  </si>
  <si>
    <t xml:space="preserve">Largest Contentful Paint element — 19,660 ms </t>
  </si>
  <si>
    <t xml:space="preserve">Eliminate render-blocking resources — Est savings of 1,650 ms </t>
  </si>
  <si>
    <t xml:space="preserve">Minimize main-thread work — 2.2 s </t>
  </si>
  <si>
    <t>Learn how to minimize main-thread work</t>
  </si>
  <si>
    <t xml:space="preserve">Eliminate render-blocking resources — Est savings of 1,620 ms </t>
  </si>
  <si>
    <t xml:space="preserve">Avoid large layout shifts — 1 layout shift found </t>
  </si>
  <si>
    <t>Learn how to improve CLS</t>
  </si>
  <si>
    <t>TIE HIGHEST PERFORMANCE SCORE FORMULA</t>
  </si>
  <si>
    <t>TIE LOWEST PERFORMANCE SCORE FORMULA</t>
  </si>
  <si>
    <t>Best</t>
  </si>
  <si>
    <t>Performance Value</t>
  </si>
  <si>
    <t>Device Selector</t>
  </si>
  <si>
    <t>Worst</t>
  </si>
  <si>
    <t>Cell with Highest</t>
  </si>
  <si>
    <t>Cell with Lowest</t>
  </si>
  <si>
    <t>Highest PS/Device</t>
  </si>
  <si>
    <t>isEqual?</t>
  </si>
  <si>
    <t>notEqual? Just get max number</t>
  </si>
  <si>
    <t>Loc</t>
  </si>
  <si>
    <t>w &amp; w/ cache?</t>
  </si>
  <si>
    <t>What device</t>
  </si>
  <si>
    <t>HIGHEST SCORE</t>
  </si>
  <si>
    <t>same device are false?</t>
  </si>
  <si>
    <t>OVERALL HIGHEST PS</t>
  </si>
  <si>
    <t>Lowest PS/Device</t>
  </si>
  <si>
    <t>notEqual? Just get lowest number</t>
  </si>
  <si>
    <t>LOWEST SCORE</t>
  </si>
  <si>
    <t>OVERALL LOWEST PS</t>
  </si>
  <si>
    <t>Device:</t>
  </si>
  <si>
    <t>Cache:</t>
  </si>
  <si>
    <t>With and without Cache</t>
  </si>
  <si>
    <t>Name</t>
  </si>
  <si>
    <t>Highest PS</t>
  </si>
  <si>
    <t>Highest PS All Page</t>
  </si>
  <si>
    <t>Highest PS Loc</t>
  </si>
  <si>
    <t>Referenced Loc</t>
  </si>
  <si>
    <t>Sheet</t>
  </si>
  <si>
    <t>Sheets</t>
  </si>
  <si>
    <t>Pages</t>
  </si>
  <si>
    <t>Cache</t>
  </si>
  <si>
    <t>Lowest PS</t>
  </si>
  <si>
    <t>Lowest PS All Page</t>
  </si>
  <si>
    <t>Lowest PS Loc</t>
  </si>
  <si>
    <t>Record performance value:</t>
  </si>
  <si>
    <t>K6</t>
  </si>
  <si>
    <t>N6</t>
  </si>
  <si>
    <t>Record performance value location:</t>
  </si>
  <si>
    <t>K10</t>
  </si>
  <si>
    <t>N10</t>
  </si>
  <si>
    <t>With and Without Cache Value Location:</t>
  </si>
  <si>
    <t>K14</t>
  </si>
  <si>
    <t>N14</t>
  </si>
  <si>
    <t>Cache Value:</t>
  </si>
  <si>
    <t>K18</t>
  </si>
  <si>
    <t>N18</t>
  </si>
  <si>
    <t>Device Location:</t>
  </si>
  <si>
    <t>K22</t>
  </si>
  <si>
    <t>N22</t>
  </si>
  <si>
    <t>Page Location:</t>
  </si>
  <si>
    <t>K26</t>
  </si>
  <si>
    <t>N26</t>
  </si>
  <si>
    <t>Page Value:</t>
  </si>
  <si>
    <t>K30</t>
  </si>
  <si>
    <t>N30</t>
  </si>
  <si>
    <t>Trimmed Value:</t>
  </si>
  <si>
    <t>K34</t>
  </si>
  <si>
    <t>N34</t>
  </si>
  <si>
    <t>With/Without Cache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</si>
</sst>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mmmm d, yyyy;@"/>
  </numFmts>
  <fonts count="8" x14ac:knownFonts="1">
    <font>
      <color theme="1"/>
      <family val="2"/>
      <scheme val="minor"/>
      <sz val="11"/>
      <name val="Calibri"/>
    </font>
    <font>
      <b/>
      <color theme="1"/>
      <family val="2"/>
      <scheme val="minor"/>
      <sz val="11"/>
      <name val="Aptos Narrow"/>
    </font>
    <font>
      <color theme="1"/>
      <family val="2"/>
      <scheme val="minor"/>
      <sz val="11"/>
      <name val="Aptos Narrow"/>
    </font>
    <font>
      <family val="2"/>
      <scheme val="minor"/>
      <sz val="11"/>
      <name val="Aptos Narrow"/>
    </font>
    <font>
      <color theme="0"/>
      <family val="2"/>
      <scheme val="minor"/>
      <sz val="11"/>
      <name val="Aptos Narrow"/>
    </font>
    <font>
      <color rgb="FF1E1E21"/>
      <family val="2"/>
      <scheme val="minor"/>
      <sz val="11"/>
      <name val="Aptos Narrow"/>
    </font>
    <font>
      <u/>
      <color theme="10"/>
      <family val="2"/>
      <scheme val="minor"/>
      <sz val="11"/>
      <name val="Aptos Narrow"/>
    </font>
    <font>
      <color rgb="FFFF0000"/>
      <family val="2"/>
      <scheme val="minor"/>
      <sz val="11"/>
      <name val="Aptos Narrow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6" tint="0.5999938962981048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3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2" fillId="2" borderId="0" xfId="0" applyFont="1" applyFill="1"/>
    <xf numFmtId="0" fontId="2" fillId="0" borderId="0" xfId="0" applyFont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/>
    </xf>
    <xf numFmtId="0" fontId="1" fillId="2" borderId="0" xfId="0" applyFont="1" applyFill="1" applyAlignment="1">
      <alignment horizontal="center" vertical="center"/>
    </xf>
    <xf numFmtId="20" fontId="2" fillId="2" borderId="8" xfId="0" applyNumberFormat="1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left" vertical="top" wrapText="1"/>
    </xf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/>
    <xf numFmtId="1" fontId="3" fillId="3" borderId="7" xfId="0" applyNumberFormat="1" applyFont="1" applyFill="1" applyBorder="1" applyAlignment="1">
      <alignment horizontal="center"/>
    </xf>
    <xf numFmtId="0" fontId="2" fillId="2" borderId="12" xfId="0" applyFont="1" applyFill="1" applyBorder="1" applyAlignment="1">
      <alignment horizontal="left" vertical="top" wrapText="1"/>
    </xf>
    <xf numFmtId="0" fontId="2" fillId="2" borderId="13" xfId="0" applyFont="1" applyFill="1" applyBorder="1" applyAlignment="1">
      <alignment horizontal="center" vertical="center"/>
    </xf>
    <xf numFmtId="0" fontId="2" fillId="2" borderId="14" xfId="0" applyFont="1" applyFill="1" applyBorder="1"/>
    <xf numFmtId="0" fontId="2" fillId="2" borderId="6" xfId="0" applyFont="1" applyFill="1" applyBorder="1" applyAlignment="1">
      <alignment horizontal="left" vertical="top" wrapText="1"/>
    </xf>
    <xf numFmtId="0" fontId="2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/>
    </xf>
    <xf numFmtId="20" fontId="2" fillId="2" borderId="8" xfId="0" applyNumberFormat="1" applyFont="1" applyFill="1" applyBorder="1" applyAlignment="1">
      <alignment horizontal="center" vertical="center" wrapText="1"/>
    </xf>
    <xf numFmtId="20" fontId="2" fillId="2" borderId="5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left" vertical="top" wrapText="1"/>
    </xf>
    <xf numFmtId="0" fontId="2" fillId="2" borderId="15" xfId="0" applyFont="1" applyFill="1" applyBorder="1" applyAlignment="1">
      <alignment horizontal="left"/>
    </xf>
    <xf numFmtId="0" fontId="5" fillId="4" borderId="15" xfId="0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left" vertical="center"/>
    </xf>
    <xf numFmtId="0" fontId="2" fillId="5" borderId="16" xfId="0" applyFont="1" applyFill="1" applyBorder="1" applyAlignment="1">
      <alignment horizontal="center" wrapText="1"/>
    </xf>
    <xf numFmtId="0" fontId="2" fillId="2" borderId="17" xfId="0" applyFont="1" applyFill="1" applyBorder="1" applyAlignment="1">
      <alignment horizontal="left"/>
    </xf>
    <xf numFmtId="0" fontId="2" fillId="3" borderId="17" xfId="0" applyFont="1" applyFill="1" applyBorder="1" applyAlignment="1">
      <alignment horizontal="center"/>
    </xf>
    <xf numFmtId="164" fontId="2" fillId="0" borderId="18" xfId="0" applyNumberFormat="1" applyFont="1" applyBorder="1" applyAlignment="1">
      <alignment horizontal="center"/>
    </xf>
    <xf numFmtId="164" fontId="2" fillId="0" borderId="19" xfId="0" applyNumberFormat="1" applyFont="1" applyBorder="1" applyAlignment="1">
      <alignment horizontal="center"/>
    </xf>
    <xf numFmtId="0" fontId="1" fillId="0" borderId="10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/>
    <xf numFmtId="0" fontId="6" fillId="0" borderId="8" xfId="0" applyFont="1" applyBorder="1"/>
    <xf numFmtId="0" fontId="1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4" xfId="0" applyFont="1" applyBorder="1"/>
    <xf numFmtId="0" fontId="1" fillId="0" borderId="13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26" xfId="0" applyFont="1" applyBorder="1"/>
    <xf numFmtId="0" fontId="2" fillId="0" borderId="0" xfId="0" applyFont="1" applyAlignment="1">
      <alignment horizontal="center" vertical="center"/>
    </xf>
    <xf numFmtId="0" fontId="6" fillId="0" borderId="0" xfId="0" applyFont="1"/>
    <xf numFmtId="0" fontId="6" fillId="2" borderId="1" xfId="0" applyFont="1" applyFill="1" applyBorder="1" applyAlignment="1">
      <alignment horizontal="left" vertical="top"/>
    </xf>
    <xf numFmtId="0" fontId="6" fillId="2" borderId="5" xfId="0" applyFont="1" applyFill="1" applyBorder="1" applyAlignment="1">
      <alignment horizontal="left" vertical="top"/>
    </xf>
    <xf numFmtId="0" fontId="6" fillId="2" borderId="2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left" vertical="top"/>
    </xf>
    <xf numFmtId="0" fontId="2" fillId="2" borderId="2" xfId="0" applyFont="1" applyFill="1" applyBorder="1" applyAlignment="1">
      <alignment horizontal="left" vertical="top"/>
    </xf>
    <xf numFmtId="0" fontId="6" fillId="0" borderId="1" xfId="0" applyFont="1" applyBorder="1" applyAlignment="1">
      <alignment horizontal="left" vertical="top"/>
    </xf>
    <xf numFmtId="0" fontId="6" fillId="0" borderId="2" xfId="0" applyFont="1" applyBorder="1" applyAlignment="1">
      <alignment horizontal="left" vertical="top"/>
    </xf>
    <xf numFmtId="0" fontId="6" fillId="0" borderId="0" xfId="0" applyFont="1" applyAlignment="1">
      <alignment vertical="top" wrapText="1"/>
    </xf>
    <xf numFmtId="0" fontId="2" fillId="2" borderId="5" xfId="0" applyFont="1" applyFill="1" applyBorder="1" applyAlignment="1">
      <alignment horizontal="left" vertical="top"/>
    </xf>
    <xf numFmtId="0" fontId="6" fillId="0" borderId="5" xfId="0" applyFont="1" applyBorder="1" applyAlignment="1">
      <alignment horizontal="left" vertical="top"/>
    </xf>
    <xf numFmtId="0" fontId="2" fillId="0" borderId="0" xfId="0" applyFont="1" applyAlignment="1">
      <alignment horizontal="left" vertical="top"/>
    </xf>
    <xf numFmtId="0" fontId="1" fillId="0" borderId="0" xfId="0" applyFont="1"/>
    <xf numFmtId="0" fontId="6" fillId="2" borderId="2" xfId="0" applyFont="1" applyFill="1" applyBorder="1"/>
    <xf numFmtId="0" fontId="6" fillId="0" borderId="27" xfId="0" applyFont="1" applyBorder="1"/>
    <xf numFmtId="0" fontId="6" fillId="0" borderId="28" xfId="0" applyFont="1" applyBorder="1"/>
    <xf numFmtId="0" fontId="6" fillId="0" borderId="29" xfId="0" applyFont="1" applyBorder="1"/>
    <xf numFmtId="0" fontId="6" fillId="0" borderId="30" xfId="0" applyFont="1" applyBorder="1"/>
    <xf numFmtId="0" fontId="2" fillId="6" borderId="24" xfId="0" applyFont="1" applyFill="1" applyBorder="1" applyAlignment="1">
      <alignment horizontal="center"/>
    </xf>
    <xf numFmtId="0" fontId="2" fillId="6" borderId="31" xfId="0" applyFont="1" applyFill="1" applyBorder="1" applyAlignment="1">
      <alignment horizontal="center"/>
    </xf>
    <xf numFmtId="0" fontId="2" fillId="6" borderId="32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2" fillId="7" borderId="24" xfId="0" applyFont="1" applyFill="1" applyBorder="1" applyAlignment="1">
      <alignment horizontal="center"/>
    </xf>
    <xf numFmtId="0" fontId="2" fillId="7" borderId="31" xfId="0" applyFont="1" applyFill="1" applyBorder="1" applyAlignment="1">
      <alignment horizontal="center"/>
    </xf>
    <xf numFmtId="0" fontId="2" fillId="7" borderId="32" xfId="0" applyFont="1" applyFill="1" applyBorder="1" applyAlignment="1">
      <alignment horizontal="center"/>
    </xf>
    <xf numFmtId="0" fontId="2" fillId="8" borderId="23" xfId="0" applyFont="1" applyFill="1" applyBorder="1" applyAlignment="1">
      <alignment horizontal="left" vertical="top"/>
    </xf>
    <xf numFmtId="0" fontId="2" fillId="8" borderId="0" xfId="0" applyFont="1" applyFill="1" applyAlignment="1">
      <alignment horizontal="left" vertical="top"/>
    </xf>
    <xf numFmtId="0" fontId="2" fillId="0" borderId="23" xfId="0" applyFont="1" applyBorder="1"/>
    <xf numFmtId="0" fontId="2" fillId="9" borderId="0" xfId="0" applyFont="1" applyFill="1" applyAlignment="1">
      <alignment horizontal="left" vertical="top"/>
    </xf>
    <xf numFmtId="0" fontId="2" fillId="0" borderId="23" xfId="0" applyFont="1" applyBorder="1" applyAlignment="1">
      <alignment horizontal="left" vertical="top"/>
    </xf>
    <xf numFmtId="1" fontId="2" fillId="8" borderId="23" xfId="0" applyNumberFormat="1" applyFont="1" applyFill="1" applyBorder="1" applyAlignment="1">
      <alignment horizontal="left" vertical="top"/>
    </xf>
    <xf numFmtId="1" fontId="2" fillId="0" borderId="0" xfId="0" applyNumberFormat="1" applyFont="1" applyAlignment="1">
      <alignment horizontal="left" vertical="top"/>
    </xf>
    <xf numFmtId="1" fontId="2" fillId="0" borderId="23" xfId="0" applyNumberFormat="1" applyFont="1" applyBorder="1" applyAlignment="1">
      <alignment horizontal="left" vertical="top"/>
    </xf>
    <xf numFmtId="0" fontId="2" fillId="9" borderId="23" xfId="0" applyFont="1" applyFill="1" applyBorder="1" applyAlignment="1">
      <alignment horizontal="left" vertical="top"/>
    </xf>
    <xf numFmtId="0" fontId="2" fillId="10" borderId="33" xfId="0" applyFont="1" applyFill="1" applyBorder="1" applyAlignment="1">
      <alignment horizontal="center"/>
    </xf>
    <xf numFmtId="0" fontId="2" fillId="10" borderId="34" xfId="0" applyFont="1" applyFill="1" applyBorder="1" applyAlignment="1">
      <alignment horizontal="center"/>
    </xf>
    <xf numFmtId="0" fontId="2" fillId="10" borderId="35" xfId="0" applyFont="1" applyFill="1" applyBorder="1" applyAlignment="1">
      <alignment horizontal="center"/>
    </xf>
    <xf numFmtId="0" fontId="2" fillId="7" borderId="33" xfId="0" applyFont="1" applyFill="1" applyBorder="1" applyAlignment="1">
      <alignment horizontal="center"/>
    </xf>
    <xf numFmtId="0" fontId="2" fillId="7" borderId="34" xfId="0" applyFont="1" applyFill="1" applyBorder="1" applyAlignment="1">
      <alignment horizontal="center"/>
    </xf>
    <xf numFmtId="0" fontId="2" fillId="7" borderId="35" xfId="0" applyFont="1" applyFill="1" applyBorder="1" applyAlignment="1">
      <alignment horizontal="center"/>
    </xf>
    <xf numFmtId="0" fontId="2" fillId="0" borderId="36" xfId="0" applyFont="1" applyBorder="1" applyAlignment="1">
      <alignment horizontal="left" vertical="top"/>
    </xf>
    <xf numFmtId="0" fontId="2" fillId="0" borderId="37" xfId="0" applyFont="1" applyBorder="1" applyAlignment="1">
      <alignment horizontal="left" vertical="top"/>
    </xf>
    <xf numFmtId="0" fontId="2" fillId="0" borderId="36" xfId="0" applyFont="1" applyBorder="1"/>
    <xf numFmtId="0" fontId="2" fillId="0" borderId="37" xfId="0" applyFont="1" applyBorder="1"/>
    <xf numFmtId="1" fontId="2" fillId="0" borderId="36" xfId="0" applyNumberFormat="1" applyFont="1" applyBorder="1" applyAlignment="1">
      <alignment horizontal="left" vertical="top"/>
    </xf>
    <xf numFmtId="1" fontId="2" fillId="0" borderId="36" xfId="0" applyNumberFormat="1" applyFont="1" applyBorder="1"/>
    <xf numFmtId="1" fontId="2" fillId="0" borderId="0" xfId="0" applyNumberFormat="1" applyFont="1"/>
    <xf numFmtId="1" fontId="2" fillId="0" borderId="38" xfId="0" applyNumberFormat="1" applyFont="1" applyBorder="1" applyAlignment="1">
      <alignment horizontal="left" vertical="top"/>
    </xf>
    <xf numFmtId="0" fontId="2" fillId="0" borderId="39" xfId="0" applyFont="1" applyBorder="1" applyAlignment="1">
      <alignment horizontal="left" vertical="top"/>
    </xf>
    <xf numFmtId="0" fontId="2" fillId="0" borderId="40" xfId="0" applyFont="1" applyBorder="1" applyAlignment="1">
      <alignment horizontal="left" vertical="top"/>
    </xf>
    <xf numFmtId="1" fontId="2" fillId="0" borderId="38" xfId="0" applyNumberFormat="1" applyFont="1" applyBorder="1"/>
    <xf numFmtId="0" fontId="2" fillId="0" borderId="39" xfId="0" applyFont="1" applyBorder="1"/>
    <xf numFmtId="0" fontId="2" fillId="0" borderId="40" xfId="0" applyFont="1" applyBorder="1"/>
    <xf numFmtId="0" fontId="2" fillId="0" borderId="38" xfId="0" applyFont="1" applyBorder="1" applyAlignment="1">
      <alignment horizontal="left" vertical="top"/>
    </xf>
    <xf numFmtId="0" fontId="2" fillId="0" borderId="0" xfId="0" applyFont="1" applyAlignment="1">
      <alignment vertical="top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24"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7.xml"/><Relationship Id="rId6" Type="http://schemas.openxmlformats.org/officeDocument/2006/relationships/worksheet" Target="worksheets/sheet8.xml"/><Relationship Id="rId7" Type="http://schemas.openxmlformats.org/officeDocument/2006/relationships/worksheet" Target="worksheets/sheet9.xml"/><Relationship Id="rId8" Type="http://schemas.openxmlformats.org/officeDocument/2006/relationships/worksheet" Target="worksheets/sheet10.xml"/><Relationship Id="rId9" Type="http://schemas.openxmlformats.org/officeDocument/2006/relationships/worksheet" Target="worksheets/sheet11.xml"/><Relationship Id="rId10" Type="http://schemas.openxmlformats.org/officeDocument/2006/relationships/worksheet" Target="worksheets/sheet12.xml"/><Relationship Id="rId11" Type="http://schemas.openxmlformats.org/officeDocument/2006/relationships/worksheet" Target="worksheets/sheet13.xml"/><Relationship Id="rId12" Type="http://schemas.openxmlformats.org/officeDocument/2006/relationships/worksheet" Target="worksheets/sheet14.xml"/><Relationship Id="rId13" Type="http://schemas.openxmlformats.org/officeDocument/2006/relationships/worksheet" Target="worksheets/sheet1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8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0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2.pn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4.png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5807181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3523329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4705423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5577648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4705423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485462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5130059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384467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lighthouse-largest-contentful-paint/?utm_source=lighthouse&amp;utm_medium=cli" TargetMode="External"/><Relationship Id="rId3" Type="http://schemas.openxmlformats.org/officeDocument/2006/relationships/drawing" Target="../drawings/drawing1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web.dev/articles/lcp-lazy-loading?utm_source=lighthouse&amp;utm_medium=cli" TargetMode="External"/><Relationship Id="rId3" Type="http://schemas.openxmlformats.org/officeDocument/2006/relationships/drawing" Target="../drawings/drawing2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performance/render-blocking-resources/?utm_source=lighthouse&amp;utm_medium=cli" TargetMode="External"/><Relationship Id="rId3" Type="http://schemas.openxmlformats.org/officeDocument/2006/relationships/drawing" Target="../drawings/drawing3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lighthouse-largest-contentful-paint/?utm_source=lighthouse&amp;utm_medium=cli" TargetMode="External"/><Relationship Id="rId3" Type="http://schemas.openxmlformats.org/officeDocument/2006/relationships/drawing" Target="../drawings/drawing4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render-blocking-resources/?utm_source=lighthouse&amp;utm_medium=cli" TargetMode="External"/><Relationship Id="rId3" Type="http://schemas.openxmlformats.org/officeDocument/2006/relationships/drawing" Target="../drawings/drawing5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performance/mainthread-work-breakdown/?utm_source=lighthouse&amp;utm_medium=cli" TargetMode="External"/><Relationship Id="rId3" Type="http://schemas.openxmlformats.org/officeDocument/2006/relationships/drawing" Target="../drawings/drawing6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performance/render-blocking-resources/?utm_source=lighthouse&amp;utm_medium=cli" TargetMode="External"/><Relationship Id="rId3" Type="http://schemas.openxmlformats.org/officeDocument/2006/relationships/drawing" Target="../drawings/drawing7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web.dev/articles/optimize-cls?utm_source=lighthouse&amp;utm_medium=cli" TargetMode="External"/><Relationship Id="rId3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 zoomScale="85" zoomScaleNormal="85"/>
  </sheetViews>
  <sheetFormatPr defaultRowHeight="14.4" outlineLevelRow="0" outlineLevelCol="0" x14ac:dyDescent="0.3" defaultColWidth="9.109375" customHeight="1"/>
  <cols>
    <col min="1" max="1" width="2.6640625" customWidth="1"/>
    <col min="2" max="2" width="19.5546875" customWidth="1"/>
    <col min="4" max="5" width="26" customWidth="1"/>
    <col min="6" max="6" width="2.6640625" customWidth="1"/>
    <col min="7" max="7" width="117.44140625" customWidth="1"/>
  </cols>
  <sheetData>
    <row r="1" ht="15" customHeight="1" x14ac:dyDescent="0.25"/>
    <row r="2" ht="15" customHeight="1" spans="4:6" x14ac:dyDescent="0.25">
      <c r="D2" s="1" t="s">
        <v>0</v>
      </c>
      <c r="E2" s="2"/>
      <c r="F2" s="3"/>
    </row>
    <row r="3" ht="15" customHeight="1" spans="1:6" x14ac:dyDescent="0.25">
      <c r="A3" s="4"/>
      <c r="B3" s="5" t="s">
        <v>1</v>
      </c>
      <c r="C3" s="6"/>
      <c r="D3" s="7" t="s">
        <v>2</v>
      </c>
      <c r="E3" s="8"/>
      <c r="F3" s="3"/>
    </row>
    <row r="4" ht="15" customHeight="1" spans="2:7" x14ac:dyDescent="0.25">
      <c r="B4" s="9" t="s">
        <v>3</v>
      </c>
      <c r="C4" s="10" t="s">
        <v>4</v>
      </c>
      <c r="D4" s="7" t="s">
        <v>5</v>
      </c>
      <c r="E4" s="11" t="s">
        <v>6</v>
      </c>
      <c r="F4" s="3"/>
      <c r="G4" s="12" t="s">
        <v>7</v>
      </c>
    </row>
    <row r="5" ht="15" customHeight="1" spans="2:6" x14ac:dyDescent="0.25">
      <c r="B5" s="13"/>
      <c r="C5" s="13"/>
      <c r="D5" s="3"/>
      <c r="F5" s="3"/>
    </row>
    <row r="6" ht="15" customHeight="1" spans="2:7" x14ac:dyDescent="0.25">
      <c r="B6" s="13"/>
      <c r="C6" s="13"/>
      <c r="D6" s="14" t="s">
        <v>8</v>
      </c>
      <c r="E6" s="14" t="s">
        <v>9</v>
      </c>
      <c r="F6" s="3"/>
      <c r="G6" s="15" t="str">
        <f>IF(OR(ISBLANK(D6),ISBLANK(E6),TEXT(D6,"mmmm d, yyyy, h:mm:ss am/pm")&lt;&gt;D6,TEXT(E6,"mmmm d, yyyy, h:mm:ss am/pm")&lt;&gt;E6),
"Kindly add Analysis Timestamp!",
IF(OR(Formula_Sheet!K6=0,Formula_Sheet!N6=0),
"Fill performance score for Home page first!",
"The best recorded performance score was in " &amp; Formula_Sheet!J6 &amp; " devices " &amp; Formula_Sheet!J7 &amp; ", at " &amp; Formula_Sheet!K6 &amp; CHAR(10) &amp;
"The worst recorded performance score was in " &amp; Formula_Sheet!M6 &amp; " devices " &amp; Formula_Sheet!M7 &amp; ", at " &amp; Formula_Sheet!N6 &amp; CHAR(10) &amp;
"Refer to " &amp; Formula_Sheet!B7 &amp; " tab for the best and worst insight, links for full diagnostic readings and recommendations for improvement."
))</f>
        <v>Kindly add Analysis Timestamp!</v>
      </c>
    </row>
    <row r="7" ht="15" customHeight="1" spans="2:7" x14ac:dyDescent="0.25">
      <c r="B7" s="16" t="s">
        <v>10</v>
      </c>
      <c r="C7" s="17" t="s">
        <v>11</v>
      </c>
      <c r="D7" s="18">
        <v>91</v>
      </c>
      <c r="E7" s="18">
        <v>92</v>
      </c>
      <c r="F7" s="3"/>
      <c r="G7" s="19"/>
    </row>
    <row r="8" ht="15" customHeight="1" spans="2:7" x14ac:dyDescent="0.25">
      <c r="B8" s="20"/>
      <c r="C8" s="21" t="s">
        <v>12</v>
      </c>
      <c r="D8" s="18">
        <v>55</v>
      </c>
      <c r="E8" s="18">
        <v>68</v>
      </c>
      <c r="F8" s="3"/>
      <c r="G8" s="22"/>
    </row>
    <row r="9" ht="15" customHeight="1" spans="2:7" x14ac:dyDescent="0.25">
      <c r="B9" s="23"/>
      <c r="C9" s="3"/>
      <c r="D9" s="3"/>
      <c r="E9" s="3"/>
      <c r="F9" s="3"/>
      <c r="G9" s="3"/>
    </row>
    <row r="10" ht="15" customHeight="1" spans="2:7" x14ac:dyDescent="0.25">
      <c r="B10" s="13"/>
      <c r="C10" s="13"/>
      <c r="D10" s="14" t="s">
        <v>13</v>
      </c>
      <c r="E10" s="14" t="s">
        <v>14</v>
      </c>
      <c r="F10" s="3"/>
      <c r="G10" s="15" t="str">
        <f>IF(OR(ISBLANK(D10),ISBLANK(E10),TEXT(D10,"mmmm d, yyyy, h:mm:ss am/pm")&lt;&gt;D10,TEXT(E10,"mmmm d, yyyy, h:mm:ss am/pm")&lt;&gt;E10),
"Kindly add Analysis Timestamp!",
IF(OR(Formula_Sheet!K10=0,Formula_Sheet!N10=0),
"Fill performance score for Home page first!",
"The best recorded performance score was in " &amp; Formula_Sheet!J10 &amp; " devices " &amp; Formula_Sheet!J11 &amp; ", at " &amp; Formula_Sheet!K10 &amp; CHAR(10) &amp;
"The worst recorded performance score was in " &amp; Formula_Sheet!M10 &amp; " devices " &amp; Formula_Sheet!M11 &amp; ", at " &amp; Formula_Sheet!N10 &amp; CHAR(10) &amp;
"Refer to " &amp; Formula_Sheet!B11 &amp; " tab for the best and worst insight, links for full diagnostic readings and recommendations for improvement."
))</f>
        <v>Kindly add Analysis Timestamp!</v>
      </c>
    </row>
    <row r="11" ht="15" customHeight="1" spans="2:7" x14ac:dyDescent="0.25">
      <c r="B11" s="16" t="s">
        <v>15</v>
      </c>
      <c r="C11" s="17" t="s">
        <v>11</v>
      </c>
      <c r="D11" s="18">
        <v>83</v>
      </c>
      <c r="E11" s="18">
        <v>84</v>
      </c>
      <c r="G11" s="19"/>
    </row>
    <row r="12" ht="15" customHeight="1" spans="2:7" x14ac:dyDescent="0.25">
      <c r="B12" s="20"/>
      <c r="C12" s="21" t="s">
        <v>12</v>
      </c>
      <c r="D12" s="18">
        <v>81</v>
      </c>
      <c r="E12" s="18">
        <v>81</v>
      </c>
      <c r="F12" s="3"/>
      <c r="G12" s="22"/>
    </row>
    <row r="13" ht="15" customHeight="1" spans="2:7" x14ac:dyDescent="0.25">
      <c r="B13" s="23"/>
      <c r="C13" s="3"/>
      <c r="D13" s="24"/>
      <c r="E13" s="24"/>
      <c r="F13" s="3"/>
      <c r="G13" s="3"/>
    </row>
    <row r="14" ht="15" customHeight="1" spans="2:7" x14ac:dyDescent="0.25">
      <c r="B14" s="13"/>
      <c r="C14" s="13"/>
      <c r="D14" s="14" t="s">
        <v>16</v>
      </c>
      <c r="E14" s="14" t="s">
        <v>17</v>
      </c>
      <c r="F14" s="3"/>
      <c r="G14" s="15" t="str">
        <f>IF(OR(ISBLANK(D14),ISBLANK(E14),TEXT(D14,"mmmm d, yyyy, h:mm:ss am/pm")&lt;&gt;D14,TEXT(E14,"mmmm d, yyyy, h:mm:ss am/pm")&lt;&gt;E14),
"Kindly add Analysis Timestamp!",
IF(OR(Formula_Sheet!K14=0,Formula_Sheet!N14=0),
"Fill performance score for Home page first!",
"The best recorded performance score was in " &amp; Formula_Sheet!J14 &amp; " devices " &amp; Formula_Sheet!J15 &amp; ", at " &amp; Formula_Sheet!K14 &amp; CHAR(10) &amp;
"The worst recorded performance score was in " &amp; Formula_Sheet!M14 &amp; " devices " &amp; Formula_Sheet!M15 &amp; ", at " &amp; Formula_Sheet!N14 &amp; CHAR(10) &amp;
"Refer to " &amp; Formula_Sheet!B15 &amp; " tab for the best and worst insight, links for full diagnostic readings and recommendations for improvement."
))</f>
        <v>Kindly add Analysis Timestamp!</v>
      </c>
    </row>
    <row r="15" ht="15" customHeight="1" spans="2:7" x14ac:dyDescent="0.25">
      <c r="B15" s="16" t="s">
        <v>18</v>
      </c>
      <c r="C15" s="17" t="s">
        <v>11</v>
      </c>
      <c r="D15" s="18">
        <v>98</v>
      </c>
      <c r="E15" s="18">
        <v>99</v>
      </c>
      <c r="F15" s="3"/>
      <c r="G15" s="19"/>
    </row>
    <row r="16" ht="15" customHeight="1" spans="2:7" x14ac:dyDescent="0.25">
      <c r="B16" s="20"/>
      <c r="C16" s="21" t="s">
        <v>12</v>
      </c>
      <c r="D16" s="18">
        <v>95</v>
      </c>
      <c r="E16" s="18">
        <v>96</v>
      </c>
      <c r="F16" s="3"/>
      <c r="G16" s="22"/>
    </row>
    <row r="17" ht="15" customHeight="1" spans="2:7" x14ac:dyDescent="0.25">
      <c r="B17" s="23"/>
      <c r="C17" s="3"/>
      <c r="D17" s="24"/>
      <c r="E17" s="24"/>
      <c r="F17" s="3"/>
      <c r="G17" s="3"/>
    </row>
    <row r="18" ht="15" customHeight="1" spans="2:7" x14ac:dyDescent="0.25">
      <c r="B18" s="13"/>
      <c r="C18" s="13"/>
      <c r="D18" s="25" t="s">
        <v>19</v>
      </c>
      <c r="E18" s="14" t="s">
        <v>20</v>
      </c>
      <c r="F18" s="3"/>
      <c r="G18" s="15" t="str">
        <f>IF(OR(ISBLANK(D18),ISBLANK(E18),TEXT(D18,"mmmm d, yyyy, h:mm:ss am/pm")&lt;&gt;D18,TEXT(E18,"mmmm d, yyyy, h:mm:ss am/pm")&lt;&gt;E18),
"Kindly add Analysis Timestamp!",
IF(OR(Formula_Sheet!K18=0,Formula_Sheet!N18=0),
"Fill performance score for Home page first!",
"The best recorded performance score was in " &amp; Formula_Sheet!J18 &amp; " devices " &amp; Formula_Sheet!J19 &amp; ", at " &amp; Formula_Sheet!K18 &amp; CHAR(10) &amp;
"The worst recorded performance score was in " &amp; Formula_Sheet!M18 &amp; " devices " &amp; Formula_Sheet!M19 &amp; ", at " &amp; Formula_Sheet!N18 &amp; CHAR(10) &amp;
"Refer to " &amp; Formula_Sheet!B19 &amp; " tab for the best and worst insight, links for full diagnostic readings and recommendations for improvement."
))</f>
        <v>Kindly add Analysis Timestamp!</v>
      </c>
    </row>
    <row r="19" ht="15" customHeight="1" spans="2:7" x14ac:dyDescent="0.25">
      <c r="B19" s="16" t="s">
        <v>21</v>
      </c>
      <c r="C19" s="17" t="s">
        <v>11</v>
      </c>
      <c r="D19" s="18">
        <v>77</v>
      </c>
      <c r="E19" s="18">
        <v>77</v>
      </c>
      <c r="F19" s="3"/>
      <c r="G19" s="19"/>
    </row>
    <row r="20" ht="15" customHeight="1" spans="2:7" x14ac:dyDescent="0.25">
      <c r="B20" s="20"/>
      <c r="C20" s="21" t="s">
        <v>12</v>
      </c>
      <c r="D20" s="18">
        <v>62</v>
      </c>
      <c r="E20" s="18">
        <v>62</v>
      </c>
      <c r="F20" s="3"/>
      <c r="G20" s="22"/>
    </row>
    <row r="21" ht="15" customHeight="1" spans="2:7" x14ac:dyDescent="0.25">
      <c r="B21" s="23"/>
      <c r="C21" s="3"/>
      <c r="D21" s="24"/>
      <c r="E21" s="24"/>
      <c r="F21" s="3"/>
      <c r="G21" s="3"/>
    </row>
    <row r="22" ht="15" customHeight="1" spans="2:7" x14ac:dyDescent="0.25">
      <c r="B22" s="13"/>
      <c r="C22" s="13"/>
      <c r="D22" s="14" t="s">
        <v>22</v>
      </c>
      <c r="E22" s="14" t="s">
        <v>23</v>
      </c>
      <c r="F22" s="3"/>
      <c r="G22" s="15" t="str">
        <f>IF(OR(ISBLANK(D22),ISBLANK(E22),TEXT(D22,"mmmm d, yyyy, h:mm:ss am/pm")&lt;&gt;D22,TEXT(E22,"mmmm d, yyyy, h:mm:ss am/pm")&lt;&gt;E22),
"Kindly add Analysis Timestamp!",
IF(OR(Formula_Sheet!K22=0,Formula_Sheet!N22=0),
"Fill performance score for Home page first!",
"The best recorded performance score was in " &amp; Formula_Sheet!J22 &amp; " devices " &amp; Formula_Sheet!J23 &amp; ", at " &amp; Formula_Sheet!K22 &amp; CHAR(10) &amp;
"The worst recorded performance score was in " &amp; Formula_Sheet!M22 &amp; " devices " &amp; Formula_Sheet!M23 &amp; ", at " &amp; Formula_Sheet!N22 &amp; CHAR(10) &amp;
"Refer to " &amp; Formula_Sheet!B23 &amp; " tab for the best and worst insight, links for full diagnostic readings and recommendations for improvement."
))</f>
        <v>Kindly add Analysis Timestamp!</v>
      </c>
    </row>
    <row r="23" ht="15" customHeight="1" spans="2:7" x14ac:dyDescent="0.25">
      <c r="B23" s="16" t="s">
        <v>24</v>
      </c>
      <c r="C23" s="17" t="s">
        <v>11</v>
      </c>
      <c r="D23" s="18">
        <v>99</v>
      </c>
      <c r="E23" s="18">
        <v>98</v>
      </c>
      <c r="F23" s="3"/>
      <c r="G23" s="19"/>
    </row>
    <row r="24" ht="15" customHeight="1" spans="2:7" x14ac:dyDescent="0.25">
      <c r="B24" s="20"/>
      <c r="C24" s="21" t="s">
        <v>12</v>
      </c>
      <c r="D24" s="18">
        <v>96</v>
      </c>
      <c r="E24" s="18">
        <v>96</v>
      </c>
      <c r="F24" s="3"/>
      <c r="G24" s="22"/>
    </row>
    <row r="25" ht="15" customHeight="1" spans="2:7" x14ac:dyDescent="0.25">
      <c r="B25" s="23"/>
      <c r="C25" s="3"/>
      <c r="D25" s="24"/>
      <c r="E25" s="26"/>
      <c r="F25" s="3"/>
      <c r="G25" s="3"/>
    </row>
    <row r="26" ht="15" customHeight="1" spans="2:7" x14ac:dyDescent="0.25">
      <c r="B26" s="13"/>
      <c r="C26" s="13"/>
      <c r="D26" s="14" t="s">
        <v>25</v>
      </c>
      <c r="E26" s="14" t="s">
        <v>26</v>
      </c>
      <c r="F26" s="3"/>
      <c r="G26" s="15" t="str">
        <f>IF(OR(ISBLANK(D26),ISBLANK(E26),TEXT(D26,"mmmm d, yyyy, h:mm:ss am/pm")&lt;&gt;D26,TEXT(E26,"mmmm d, yyyy, h:mm:ss am/pm")&lt;&gt;E26),
"Kindly add Analysis Timestamp!",
IF(OR(Formula_Sheet!K26=0,Formula_Sheet!N26=0),
"Fill performance score for Home page first!",
"The best recorded performance score was in " &amp; Formula_Sheet!J26 &amp; " devices " &amp; Formula_Sheet!J27 &amp; ", at " &amp; Formula_Sheet!K26 &amp; CHAR(10) &amp;
"The worst recorded performance score was in " &amp; Formula_Sheet!M26 &amp; " devices " &amp; Formula_Sheet!M27 &amp; ", at " &amp; Formula_Sheet!N26 &amp; CHAR(10) &amp;
"Refer to " &amp; Formula_Sheet!B27 &amp; " tab for the best and worst insight, links for full diagnostic readings and recommendations for improvement."
))</f>
        <v>Kindly add Analysis Timestamp!</v>
      </c>
    </row>
    <row r="27" ht="15" customHeight="1" spans="2:7" x14ac:dyDescent="0.25">
      <c r="B27" s="16" t="s">
        <v>27</v>
      </c>
      <c r="C27" s="17" t="s">
        <v>11</v>
      </c>
      <c r="D27" s="18">
        <v>96</v>
      </c>
      <c r="E27" s="18">
        <v>97</v>
      </c>
      <c r="F27" s="3"/>
      <c r="G27" s="19"/>
    </row>
    <row r="28" ht="15" customHeight="1" spans="2:7" x14ac:dyDescent="0.25">
      <c r="B28" s="20"/>
      <c r="C28" s="21" t="s">
        <v>12</v>
      </c>
      <c r="D28" s="18">
        <v>91</v>
      </c>
      <c r="E28" s="18">
        <v>93</v>
      </c>
      <c r="F28" s="3"/>
      <c r="G28" s="22"/>
    </row>
    <row r="29" ht="15" customHeight="1" spans="2:7" x14ac:dyDescent="0.25">
      <c r="B29" s="23"/>
      <c r="C29" s="3"/>
      <c r="D29" s="24"/>
      <c r="E29" s="24"/>
      <c r="F29" s="3"/>
      <c r="G29" s="3"/>
    </row>
    <row r="30" ht="15" customHeight="1" spans="2:7" x14ac:dyDescent="0.25">
      <c r="B30" s="13"/>
      <c r="C30" s="13"/>
      <c r="D30" s="14" t="s">
        <v>28</v>
      </c>
      <c r="E30" s="25" t="s">
        <v>29</v>
      </c>
      <c r="F30" s="3"/>
      <c r="G30" s="15" t="str">
        <f>IF(OR(ISBLANK(D30),ISBLANK(E30),TEXT(D30,"mmmm d, yyyy, h:mm:ss am/pm")&lt;&gt;D30,TEXT(E30,"mmmm d, yyyy, h:mm:ss am/pm")&lt;&gt;E30),
"Kindly add Analysis Timestamp!",
IF(OR(Formula_Sheet!K30=0,Formula_Sheet!N30=0),
"Fill performance score for Home page first!",
"The best recorded performance score was in " &amp; Formula_Sheet!J30 &amp; " devices " &amp; Formula_Sheet!J31 &amp; ", at " &amp; Formula_Sheet!K30 &amp; CHAR(10) &amp;
"The worst recorded performance score was in " &amp; Formula_Sheet!M30 &amp; " devices " &amp; Formula_Sheet!M31 &amp; ", at " &amp; Formula_Sheet!N30 &amp; CHAR(10) &amp;
"Refer to " &amp; Formula_Sheet!B31 &amp; " tab for the best and worst insight, links for full diagnostic readings and recommendations for improvement."
))</f>
        <v>Kindly add Analysis Timestamp!</v>
      </c>
    </row>
    <row r="31" ht="15" customHeight="1" spans="2:7" x14ac:dyDescent="0.25">
      <c r="B31" s="16" t="s">
        <v>30</v>
      </c>
      <c r="C31" s="17" t="s">
        <v>11</v>
      </c>
      <c r="D31" s="18">
        <v>98</v>
      </c>
      <c r="E31" s="18">
        <v>99</v>
      </c>
      <c r="F31" s="3"/>
      <c r="G31" s="19"/>
    </row>
    <row r="32" ht="15" customHeight="1" spans="2:7" x14ac:dyDescent="0.25">
      <c r="B32" s="20"/>
      <c r="C32" s="21" t="s">
        <v>12</v>
      </c>
      <c r="D32" s="18">
        <v>96</v>
      </c>
      <c r="E32" s="18">
        <v>95</v>
      </c>
      <c r="F32" s="3"/>
      <c r="G32" s="22"/>
    </row>
    <row r="33" ht="15" customHeight="1" spans="2:7" x14ac:dyDescent="0.25">
      <c r="B33" s="23"/>
      <c r="C33" s="3"/>
      <c r="D33" s="24"/>
      <c r="E33" s="24"/>
      <c r="F33" s="3"/>
      <c r="G33" s="27"/>
    </row>
    <row r="34" ht="14.4" customHeight="1" spans="2:7" x14ac:dyDescent="0.25">
      <c r="B34" s="13"/>
      <c r="C34" s="13"/>
      <c r="D34" s="14" t="s">
        <v>31</v>
      </c>
      <c r="E34" s="25" t="s">
        <v>32</v>
      </c>
      <c r="F34" s="3"/>
      <c r="G34" s="15" t="str">
        <f>IF(OR(ISBLANK(D34),ISBLANK(E34),TEXT(D34,"mmmm d, yyyy, h:mm:ss am/pm")&lt;&gt;D34,TEXT(E34,"mmmm d, yyyy, h:mm:ss am/pm")&lt;&gt;E34),
"Kindly add Analysis Timestamp!",
IF(OR(Formula_Sheet!K34=0,Formula_Sheet!N34=0),
"Fill performance score for Home page first!",
"The best recorded performance score was in " &amp; Formula_Sheet!J34 &amp; " devices " &amp; Formula_Sheet!J35 &amp; ", at " &amp; Formula_Sheet!K34 &amp; CHAR(10) &amp;
"The worst recorded performance score was in " &amp; Formula_Sheet!M34 &amp; " devices " &amp; Formula_Sheet!M35 &amp; ", at " &amp; Formula_Sheet!N34 &amp; CHAR(10) &amp;
"Refer to " &amp; Formula_Sheet!B35 &amp; " tab for the best and worst insight, links for full diagnostic readings and recommendations for improvement."
))</f>
        <v>Kindly add Analysis Timestamp!</v>
      </c>
    </row>
    <row r="35" ht="15" customHeight="1" spans="2:7" x14ac:dyDescent="0.25">
      <c r="B35" s="16" t="s">
        <v>33</v>
      </c>
      <c r="C35" s="17" t="s">
        <v>11</v>
      </c>
      <c r="D35" s="18">
        <v>93</v>
      </c>
      <c r="E35" s="18">
        <v>93</v>
      </c>
      <c r="F35" s="3"/>
      <c r="G35" s="19"/>
    </row>
    <row r="36" ht="15" customHeight="1" spans="2:7" x14ac:dyDescent="0.25">
      <c r="B36" s="20"/>
      <c r="C36" s="21" t="s">
        <v>12</v>
      </c>
      <c r="D36" s="18">
        <v>77</v>
      </c>
      <c r="E36" s="18">
        <v>76</v>
      </c>
      <c r="F36" s="3"/>
      <c r="G36" s="22"/>
    </row>
    <row r="37" ht="15" customHeight="1" spans="3:7" x14ac:dyDescent="0.25">
      <c r="C37" s="3"/>
      <c r="D37" s="3"/>
      <c r="F37" s="3"/>
      <c r="G37" s="3"/>
    </row>
    <row r="38" ht="14.4" customHeight="1" spans="3:7" x14ac:dyDescent="0.25">
      <c r="C38" s="28" t="s">
        <v>34</v>
      </c>
      <c r="D38" s="29" t="s">
        <v>35</v>
      </c>
      <c r="F38" s="3"/>
      <c r="G38" s="15" t="str">
        <f>IF(OR(Formula_Sheet!J39=0,Formula_Sheet!K39=0),
"Kindly, fill the Performance Score first!",
Formula_Sheet!T61 &amp; Formula_Sheet!T62 &amp;
CHAR(10) &amp;
Formula_Sheet!T64 &amp;
CHAR(10) &amp; CHAR(10) &amp;
 Formula_Sheet!AF61 &amp; Formula_Sheet!AF62 &amp;
CHAR(10) &amp;
Formula_Sheet!AF64
)</f>
        <v>Kindly, fill the Performance Score first!</v>
      </c>
    </row>
    <row r="39" spans="3:7" x14ac:dyDescent="0.25">
      <c r="C39" s="30" t="s">
        <v>36</v>
      </c>
      <c r="D39" s="31" t="s">
        <v>37</v>
      </c>
      <c r="F39" s="3"/>
      <c r="G39" s="19"/>
    </row>
    <row r="40" ht="15" customHeight="1" spans="3:7" x14ac:dyDescent="0.25">
      <c r="C40" s="32" t="s">
        <v>38</v>
      </c>
      <c r="D40" s="33" t="s">
        <v>39</v>
      </c>
      <c r="F40" s="3"/>
      <c r="G40" s="19"/>
    </row>
    <row r="41" spans="7:7" x14ac:dyDescent="0.25">
      <c r="G41" s="19"/>
    </row>
    <row r="42" ht="64.2" customHeight="1" spans="7:7" x14ac:dyDescent="0.25">
      <c r="G42" s="22"/>
    </row>
  </sheetData>
  <mergeCells count="20">
    <mergeCell ref="D2:E2"/>
    <mergeCell ref="B3:C3"/>
    <mergeCell ref="D3:E3"/>
    <mergeCell ref="G6:G8"/>
    <mergeCell ref="B7:B8"/>
    <mergeCell ref="G10:G12"/>
    <mergeCell ref="B11:B12"/>
    <mergeCell ref="G14:G16"/>
    <mergeCell ref="B15:B16"/>
    <mergeCell ref="G18:G20"/>
    <mergeCell ref="B19:B20"/>
    <mergeCell ref="G22:G24"/>
    <mergeCell ref="B23:B24"/>
    <mergeCell ref="G26:G28"/>
    <mergeCell ref="B27:B28"/>
    <mergeCell ref="G30:G32"/>
    <mergeCell ref="B31:B32"/>
    <mergeCell ref="G34:G36"/>
    <mergeCell ref="B35:B36"/>
    <mergeCell ref="G38:G42"/>
  </mergeCells>
  <conditionalFormatting sqref="D7:E8">
    <cfRule type="cellIs" dxfId="0" priority="4" operator="lessThan">
      <formula>1</formula>
    </cfRule>
    <cfRule type="cellIs" dxfId="1" priority="5" operator="lessThan">
      <formula>50</formula>
    </cfRule>
    <cfRule type="cellIs" dxfId="2" priority="6" operator="lessThan">
      <formula>90</formula>
    </cfRule>
  </conditionalFormatting>
  <conditionalFormatting sqref="D11:E12">
    <cfRule type="cellIs" dxfId="3" priority="7" operator="lessThan">
      <formula>1</formula>
    </cfRule>
    <cfRule type="cellIs" dxfId="4" priority="8" operator="lessThan">
      <formula>50</formula>
    </cfRule>
    <cfRule type="cellIs" dxfId="5" priority="9" operator="lessThan">
      <formula>90</formula>
    </cfRule>
  </conditionalFormatting>
  <conditionalFormatting sqref="D15:E16">
    <cfRule type="cellIs" dxfId="6" priority="10" operator="lessThan">
      <formula>1</formula>
    </cfRule>
    <cfRule type="cellIs" dxfId="7" priority="11" operator="lessThan">
      <formula>50</formula>
    </cfRule>
    <cfRule type="cellIs" dxfId="8" priority="12" operator="lessThan">
      <formula>90</formula>
    </cfRule>
  </conditionalFormatting>
  <conditionalFormatting sqref="D19:E20">
    <cfRule type="cellIs" dxfId="9" priority="1" operator="lessThan">
      <formula>1</formula>
    </cfRule>
    <cfRule type="cellIs" dxfId="10" priority="2" operator="lessThan">
      <formula>50</formula>
    </cfRule>
    <cfRule type="cellIs" dxfId="11" priority="3" operator="lessThan">
      <formula>90</formula>
    </cfRule>
  </conditionalFormatting>
  <conditionalFormatting sqref="D23:E24">
    <cfRule type="cellIs" dxfId="12" priority="13" operator="lessThan">
      <formula>1</formula>
    </cfRule>
    <cfRule type="cellIs" dxfId="13" priority="14" operator="lessThan">
      <formula>50</formula>
    </cfRule>
    <cfRule type="cellIs" dxfId="14" priority="15" operator="lessThan">
      <formula>90</formula>
    </cfRule>
  </conditionalFormatting>
  <conditionalFormatting sqref="D27:E28">
    <cfRule type="cellIs" dxfId="15" priority="16" operator="lessThan">
      <formula>1</formula>
    </cfRule>
    <cfRule type="cellIs" dxfId="16" priority="17" operator="lessThan">
      <formula>50</formula>
    </cfRule>
    <cfRule type="cellIs" dxfId="17" priority="18" operator="lessThan">
      <formula>90</formula>
    </cfRule>
  </conditionalFormatting>
  <conditionalFormatting sqref="D31:E32">
    <cfRule type="cellIs" dxfId="18" priority="19" operator="lessThan">
      <formula>1</formula>
    </cfRule>
    <cfRule type="cellIs" dxfId="19" priority="20" operator="lessThan">
      <formula>50</formula>
    </cfRule>
    <cfRule type="cellIs" dxfId="20" priority="21" operator="lessThan">
      <formula>90</formula>
    </cfRule>
  </conditionalFormatting>
  <conditionalFormatting sqref="D35:E36">
    <cfRule type="cellIs" dxfId="21" priority="22" operator="lessThan">
      <formula>1</formula>
    </cfRule>
    <cfRule type="cellIs" dxfId="22" priority="23" operator="lessThan">
      <formula>50</formula>
    </cfRule>
    <cfRule type="cellIs" dxfId="23" priority="24" operator="lessThan">
      <formula>90</formula>
    </cfRule>
  </conditionalFormatting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spans="3:4" x14ac:dyDescent="0.25">
      <c r="C2" s="34">
        <f>Summary!D6</f>
        <v>0</v>
      </c>
      <c r="D2" s="35"/>
    </row>
    <row r="3" spans="2:5" x14ac:dyDescent="0.25">
      <c r="B3" s="36" t="str">
        <f>Summary!B7</f>
        <v>01_Home</v>
      </c>
      <c r="C3" s="37" t="s">
        <v>11</v>
      </c>
      <c r="D3" s="38" t="s">
        <v>5</v>
      </c>
      <c r="E3" s="39">
        <f>HYPERLINK(".\html-06-04-2026-10-55-05-AM\www_cheqsystems_com-Desktop-Normal.report.html", "https://www.cheqsystems.com — Desktop-Normal")</f>
      </c>
    </row>
    <row r="4" spans="2:5" x14ac:dyDescent="0.25">
      <c r="B4" s="40"/>
      <c r="C4" s="41"/>
      <c r="D4" s="42" t="s">
        <v>6</v>
      </c>
      <c r="E4" s="39">
        <f>HYPERLINK(".\html-06-04-2026-10-55-05-AM\www_cheqsystems_com-Desktop-Incognito.report.html", "https://www.cheqsystems.com — Desktop-Incognito")</f>
      </c>
    </row>
    <row r="5" spans="2:5" x14ac:dyDescent="0.25">
      <c r="B5" s="40"/>
      <c r="C5" s="41" t="s">
        <v>12</v>
      </c>
      <c r="D5" s="42" t="s">
        <v>5</v>
      </c>
      <c r="E5" s="39">
        <f>HYPERLINK(".\html-06-04-2026-10-55-05-AM\www_cheqsystems_com-Mobile-Normal.report.html", "https://www.cheqsystems.com — Mobile-Normal")</f>
      </c>
    </row>
    <row r="6" spans="2:5" x14ac:dyDescent="0.25">
      <c r="B6" s="43"/>
      <c r="C6" s="44"/>
      <c r="D6" s="45" t="s">
        <v>6</v>
      </c>
      <c r="E6" s="39">
        <f>HYPERLINK(".\html-06-04-2026-10-55-05-AM\www_cheqsystems_com-Mobile-Incognito.report.html", "https://www.cheqsystems.com — Mobile-Incognito")</f>
      </c>
    </row>
    <row r="7" spans="2:5" x14ac:dyDescent="0.25">
      <c r="B7" s="46"/>
      <c r="C7" s="46"/>
      <c r="E7" s="47"/>
    </row>
    <row r="8" ht="14.4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4" x14ac:dyDescent="0.25">
      <c r="B10" t="s">
        <v>42</v>
      </c>
      <c r="C10" s="51" t="s">
        <v>43</v>
      </c>
      <c r="D10" s="52"/>
    </row>
    <row r="11" ht="15" customHeight="1" spans="2:4" x14ac:dyDescent="0.25">
      <c r="B11" t="s">
        <v>44</v>
      </c>
      <c r="C11" s="53" t="s">
        <v>45</v>
      </c>
      <c r="D11" s="54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47</v>
      </c>
      <c r="D26" s="56"/>
      <c r="E26" s="52"/>
    </row>
    <row r="27" ht="15" customHeight="1" spans="2:5" x14ac:dyDescent="0.25">
      <c r="B27" t="s">
        <v>44</v>
      </c>
      <c r="C27" s="53" t="s">
        <v>48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30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44140625" customWidth="1"/>
    <col min="6" max="6" width="2.6640625" customWidth="1"/>
    <col min="7" max="8" width="16.5546875" customWidth="1"/>
  </cols>
  <sheetData>
    <row r="1" ht="15" customHeight="1" x14ac:dyDescent="0.25"/>
    <row r="2" spans="3:4" x14ac:dyDescent="0.25">
      <c r="C2" s="34">
        <f>Summary!D10</f>
        <v>0</v>
      </c>
      <c r="D2" s="35"/>
    </row>
    <row r="3" spans="2:5" x14ac:dyDescent="0.25">
      <c r="B3" s="36" t="str">
        <f>Summary!B11</f>
        <v>02_Testing</v>
      </c>
      <c r="C3" s="37" t="s">
        <v>11</v>
      </c>
      <c r="D3" s="38" t="s">
        <v>5</v>
      </c>
      <c r="E3" s="39">
        <f>HYPERLINK(".\html-06-04-2026-10-55-05-AM\www_cheqsystems_com_testing-services-Desktop-Normal.report.html", "https://www.cheqsystems.com/testing-services — Desktop-Normal")</f>
      </c>
    </row>
    <row r="4" spans="2:5" x14ac:dyDescent="0.25">
      <c r="B4" s="40"/>
      <c r="C4" s="41"/>
      <c r="D4" s="42" t="s">
        <v>6</v>
      </c>
      <c r="E4" s="39">
        <f>HYPERLINK(".\html-06-04-2026-10-55-05-AM\www_cheqsystems_com_testing-services-Desktop-Incognito.report.html", "https://www.cheqsystems.com/testing-services — Desktop-Incognito")</f>
      </c>
    </row>
    <row r="5" spans="2:5" x14ac:dyDescent="0.25">
      <c r="B5" s="40"/>
      <c r="C5" s="41" t="s">
        <v>12</v>
      </c>
      <c r="D5" s="42" t="s">
        <v>5</v>
      </c>
      <c r="E5" s="39">
        <f>HYPERLINK(".\html-06-04-2026-10-55-05-AM\www_cheqsystems_com_testing-services-Mobile-Normal.report.html", "https://www.cheqsystems.com/testing-services — Mobile-Normal")</f>
      </c>
    </row>
    <row r="6" spans="2:5" x14ac:dyDescent="0.25">
      <c r="B6" s="43"/>
      <c r="C6" s="44"/>
      <c r="D6" s="45" t="s">
        <v>6</v>
      </c>
      <c r="E6" s="39">
        <f>HYPERLINK(".\html-06-04-2026-10-55-05-AM\www_cheqsystems_com_testing-services-Mobile-Incognito.report.html", "https://www.cheqsystems.com/testing-services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49</v>
      </c>
      <c r="D26" s="56"/>
      <c r="E26" s="52"/>
    </row>
    <row r="27" ht="15" customHeight="1" spans="2:5" x14ac:dyDescent="0.25">
      <c r="B27" t="s">
        <v>44</v>
      </c>
      <c r="C27" s="53" t="s">
        <v>50</v>
      </c>
      <c r="D27" s="57"/>
      <c r="E27" s="54"/>
    </row>
    <row r="30" spans="3:3" x14ac:dyDescent="0.25">
      <c r="C30" s="59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Summary!D14</f>
        <v>0</v>
      </c>
      <c r="D2" s="35"/>
    </row>
    <row r="3" ht="15" customHeight="1" spans="2:5" x14ac:dyDescent="0.25">
      <c r="B3" s="36" t="str">
        <f>Summary!B15</f>
        <v>03_About</v>
      </c>
      <c r="C3" s="37" t="s">
        <v>11</v>
      </c>
      <c r="D3" s="38" t="s">
        <v>5</v>
      </c>
      <c r="E3" s="39">
        <f>HYPERLINK(".\html-06-04-2026-10-55-05-AM\www_cheqsystems_com_about-Desktop-Normal.report.html", "https://www.cheqsystems.com/about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HYPERLINK(".\html-06-04-2026-10-55-05-AM\www_cheqsystems_com_about-Desktop-Incognito.report.html", "https://www.cheqsystems.com/about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HYPERLINK(".\html-06-04-2026-10-55-05-AM\www_cheqsystems_com_about-Mobile-Normal.report.html", "https://www.cheqsystems.com/about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HYPERLINK(".\html-06-04-2026-10-55-05-AM\www_cheqsystems_com_about-Mobile-Incognito.report.html", "https://www.cheqsystems.com/about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51</v>
      </c>
      <c r="D10" s="52"/>
      <c r="E10" s="58"/>
    </row>
    <row r="11" ht="15" customHeight="1" spans="2:5" x14ac:dyDescent="0.25">
      <c r="B11" t="s">
        <v>44</v>
      </c>
      <c r="C11" s="53" t="s">
        <v>52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53</v>
      </c>
      <c r="D26" s="56"/>
      <c r="E26" s="52"/>
    </row>
    <row r="27" ht="15" customHeight="1" spans="2:5" x14ac:dyDescent="0.25">
      <c r="B27" t="s">
        <v>44</v>
      </c>
      <c r="C27" s="53" t="s">
        <v>54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Summary!D18</f>
        <v>0</v>
      </c>
      <c r="D2" s="35"/>
    </row>
    <row r="3" ht="15" customHeight="1" spans="2:5" x14ac:dyDescent="0.25">
      <c r="B3" s="36" t="str">
        <f>Summary!B19</f>
        <v>04_News</v>
      </c>
      <c r="C3" s="37" t="s">
        <v>11</v>
      </c>
      <c r="D3" s="38" t="s">
        <v>5</v>
      </c>
      <c r="E3" s="39">
        <f>HYPERLINK(".\html-06-04-2026-10-55-05-AM\www_cheqsystems_com_news-Desktop-Normal.report.html", "https://www.cheqsystems.com/news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HYPERLINK(".\html-06-04-2026-10-55-05-AM\www_cheqsystems_com_news-Desktop-Incognito.report.html", "https://www.cheqsystems.com/news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HYPERLINK(".\html-06-04-2026-10-55-05-AM\www_cheqsystems_com_news-Mobile-Normal.report.html", "https://www.cheqsystems.com/news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HYPERLINK(".\html-06-04-2026-10-55-05-AM\www_cheqsystems_com_news-Mobile-Incognito.report.html", "https://www.cheqsystems.com/news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55</v>
      </c>
      <c r="D26" s="56"/>
      <c r="E26" s="52"/>
    </row>
    <row r="27" ht="15" customHeight="1" spans="2:5" x14ac:dyDescent="0.25">
      <c r="B27" t="s">
        <v>44</v>
      </c>
      <c r="C27" s="53" t="s">
        <v>48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9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7" width="16.5546875" customWidth="1"/>
  </cols>
  <sheetData>
    <row r="1" ht="15" customHeight="1" x14ac:dyDescent="0.25"/>
    <row r="2" ht="15" customHeight="1" spans="3:4" x14ac:dyDescent="0.25">
      <c r="C2" s="34">
        <f>Summary!D22</f>
        <v>0</v>
      </c>
      <c r="D2" s="35"/>
    </row>
    <row r="3" ht="15" customHeight="1" spans="2:5" x14ac:dyDescent="0.25">
      <c r="B3" s="36" t="str">
        <f>Summary!B23</f>
        <v>05_Careers</v>
      </c>
      <c r="C3" s="37" t="s">
        <v>11</v>
      </c>
      <c r="D3" s="38" t="s">
        <v>5</v>
      </c>
      <c r="E3" s="39">
        <f>HYPERLINK(".\html-06-04-2026-10-55-05-AM\www_cheqsystems_com_careers-Desktop-Normal.report.html", "https://www.cheqsystems.com/careers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HYPERLINK(".\html-06-04-2026-10-55-05-AM\www_cheqsystems_com_careers-Desktop-Incognito.report.html", "https://www.cheqsystems.com/careers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HYPERLINK(".\html-06-04-2026-10-55-05-AM\www_cheqsystems_com_careers-Mobile-Normal.report.html", "https://www.cheqsystems.com/careers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HYPERLINK(".\html-06-04-2026-10-55-05-AM\www_cheqsystems_com_careers-Mobile-Incognito.report.html", "https://www.cheqsystems.com/careers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56</v>
      </c>
      <c r="D26" s="56"/>
      <c r="E26" s="52"/>
    </row>
    <row r="27" ht="15" customHeight="1" spans="2:5" x14ac:dyDescent="0.25">
      <c r="B27" t="s">
        <v>44</v>
      </c>
      <c r="C27" s="53" t="s">
        <v>54</v>
      </c>
      <c r="D27" s="57"/>
      <c r="E27" s="54"/>
    </row>
    <row r="29" spans="3:3" x14ac:dyDescent="0.25">
      <c r="C29" s="59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Summary!D26</f>
        <v>0</v>
      </c>
      <c r="D2" s="35"/>
    </row>
    <row r="3" ht="15" customHeight="1" spans="2:5" x14ac:dyDescent="0.25">
      <c r="B3" s="36" t="str">
        <f>Summary!B27</f>
        <v>06_Contact</v>
      </c>
      <c r="C3" s="37" t="s">
        <v>11</v>
      </c>
      <c r="D3" s="38" t="s">
        <v>5</v>
      </c>
      <c r="E3" s="39">
        <f>HYPERLINK(".\html-06-04-2026-10-55-05-AM\www_cheqsystems_com_contact-Desktop-Normal.report.html", "https://www.cheqsystems.com/contact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HYPERLINK(".\html-06-04-2026-10-55-05-AM\www_cheqsystems_com_contact-Desktop-Incognito.report.html", "https://www.cheqsystems.com/contact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HYPERLINK(".\html-06-04-2026-10-55-05-AM\www_cheqsystems_com_contact-Mobile-Normal.report.html", "https://www.cheqsystems.com/contact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HYPERLINK(".\html-06-04-2026-10-55-05-AM\www_cheqsystems_com_contact-Mobile-Incognito.report.html", "https://www.cheqsystems.com/contact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60"/>
    </row>
    <row r="10" ht="15" customHeight="1" spans="2:4" x14ac:dyDescent="0.25">
      <c r="B10" t="s">
        <v>42</v>
      </c>
      <c r="C10" s="51" t="s">
        <v>51</v>
      </c>
      <c r="D10" s="52"/>
    </row>
    <row r="11" ht="15" customHeight="1" spans="2:4" x14ac:dyDescent="0.25">
      <c r="B11" t="s">
        <v>44</v>
      </c>
      <c r="C11" s="53" t="s">
        <v>52</v>
      </c>
      <c r="D11" s="54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57</v>
      </c>
      <c r="D26" s="56"/>
      <c r="E26" s="52"/>
    </row>
    <row r="27" ht="15" customHeight="1" spans="2:5" x14ac:dyDescent="0.25">
      <c r="B27" t="s">
        <v>44</v>
      </c>
      <c r="C27" s="53" t="s">
        <v>58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2" spans="3:4" x14ac:dyDescent="0.25">
      <c r="C2" s="34">
        <f>Summary!D30</f>
        <v>0</v>
      </c>
      <c r="D2" s="35"/>
    </row>
    <row r="3" spans="2:5" x14ac:dyDescent="0.25">
      <c r="B3" s="36" t="str">
        <f>Summary!B31</f>
        <v>07_Privacy</v>
      </c>
      <c r="C3" s="37" t="s">
        <v>11</v>
      </c>
      <c r="D3" s="38" t="s">
        <v>5</v>
      </c>
      <c r="E3" s="61">
        <f>HYPERLINK(".\html-06-04-2026-10-55-05-AM\www_cheqsystems_com_privacy-policy-Desktop-Normal.report.html", "https://www.cheqsystems.com/privacy-policy — Desktop-Normal")</f>
      </c>
    </row>
    <row r="4" spans="2:5" x14ac:dyDescent="0.25">
      <c r="B4" s="40"/>
      <c r="C4" s="41"/>
      <c r="D4" s="42" t="s">
        <v>6</v>
      </c>
      <c r="E4" s="62">
        <f>HYPERLINK(".\html-06-04-2026-10-55-05-AM\www_cheqsystems_com_privacy-policy-Desktop-Incognito.report.html", "https://www.cheqsystems.com/privacy-policy — Desktop-Incognito")</f>
      </c>
    </row>
    <row r="5" spans="2:5" x14ac:dyDescent="0.25">
      <c r="B5" s="40"/>
      <c r="C5" s="41" t="s">
        <v>12</v>
      </c>
      <c r="D5" s="42" t="s">
        <v>5</v>
      </c>
      <c r="E5" s="63">
        <f>HYPERLINK(".\html-06-04-2026-10-55-05-AM\www_cheqsystems_com_privacy-policy-Mobile-Normal.report.html", "https://www.cheqsystems.com/privacy-policy — Mobile-Normal")</f>
      </c>
    </row>
    <row r="6" spans="2:5" x14ac:dyDescent="0.25">
      <c r="B6" s="43"/>
      <c r="C6" s="44"/>
      <c r="D6" s="45" t="s">
        <v>6</v>
      </c>
      <c r="E6" s="64">
        <f>HYPERLINK(".\html-06-04-2026-10-55-05-AM\www_cheqsystems_com_privacy-policy-Mobile-Incognito.report.html", "https://www.cheqsystems.com/privacy-policy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51</v>
      </c>
      <c r="D10" s="52"/>
      <c r="E10" s="58"/>
    </row>
    <row r="11" ht="15" customHeight="1" spans="2:5" x14ac:dyDescent="0.25">
      <c r="B11" t="s">
        <v>44</v>
      </c>
      <c r="C11" s="53" t="s">
        <v>52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59</v>
      </c>
      <c r="D26" s="56"/>
      <c r="E26" s="52"/>
    </row>
    <row r="27" ht="15" customHeight="1" spans="2:5" x14ac:dyDescent="0.25">
      <c r="B27" t="s">
        <v>44</v>
      </c>
      <c r="C27" s="53" t="s">
        <v>54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109375" customWidth="1"/>
    <col min="6" max="6" width="2.6640625" customWidth="1"/>
    <col min="7" max="8" width="16.5546875" customWidth="1"/>
  </cols>
  <sheetData>
    <row r="2" spans="3:4" x14ac:dyDescent="0.25">
      <c r="C2" s="34">
        <f>Summary!D34</f>
        <v>0</v>
      </c>
      <c r="D2" s="35"/>
    </row>
    <row r="3" spans="2:5" x14ac:dyDescent="0.25">
      <c r="B3" s="36" t="str">
        <f>Summary!B35</f>
        <v>08_Game Testing</v>
      </c>
      <c r="C3" s="37" t="s">
        <v>11</v>
      </c>
      <c r="D3" s="38" t="s">
        <v>5</v>
      </c>
      <c r="E3" s="39">
        <f>HYPERLINK(".\html-06-04-2026-10-55-05-AM\www_cheqsystems_com_game-testing-Desktop-Normal.report.html", "https://www.cheqsystems.com/game-testing — Desktop-Normal")</f>
      </c>
    </row>
    <row r="4" spans="2:5" x14ac:dyDescent="0.25">
      <c r="B4" s="40"/>
      <c r="C4" s="41"/>
      <c r="D4" s="42" t="s">
        <v>6</v>
      </c>
      <c r="E4" s="39">
        <f>HYPERLINK(".\html-06-04-2026-10-55-05-AM\www_cheqsystems_com_game-testing-Desktop-Incognito.report.html", "https://www.cheqsystems.com/game-testing — Desktop-Incognito")</f>
      </c>
    </row>
    <row r="5" spans="2:5" x14ac:dyDescent="0.25">
      <c r="B5" s="40"/>
      <c r="C5" s="41" t="s">
        <v>12</v>
      </c>
      <c r="D5" s="42" t="s">
        <v>5</v>
      </c>
      <c r="E5" s="39">
        <f>HYPERLINK(".\html-06-04-2026-10-55-05-AM\www_cheqsystems_com_game-testing-Mobile-Normal.report.html", "https://www.cheqsystems.com/game-testing — Mobile-Normal")</f>
      </c>
    </row>
    <row r="6" spans="2:5" x14ac:dyDescent="0.25">
      <c r="B6" s="43"/>
      <c r="C6" s="44"/>
      <c r="D6" s="45" t="s">
        <v>6</v>
      </c>
      <c r="E6" s="39">
        <f>HYPERLINK(".\html-06-04-2026-10-55-05-AM\www_cheqsystems_com_game-testing-Mobile-Incognito.report.html", "https://www.cheqsystems.com/game-testing — Mobile-Incognito")</f>
      </c>
    </row>
    <row r="7" spans="2:5" x14ac:dyDescent="0.25">
      <c r="B7" s="46"/>
      <c r="C7" s="46"/>
      <c r="E7" s="47"/>
    </row>
    <row r="8" spans="2:2" x14ac:dyDescent="0.25">
      <c r="B8" t="s">
        <v>40</v>
      </c>
    </row>
    <row r="9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spans="2:2" x14ac:dyDescent="0.25">
      <c r="B24" t="s">
        <v>46</v>
      </c>
    </row>
    <row r="25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60</v>
      </c>
      <c r="D26" s="56"/>
      <c r="E26" s="52"/>
    </row>
    <row r="27" ht="15" customHeight="1" spans="2:5" x14ac:dyDescent="0.25">
      <c r="B27" t="s">
        <v>44</v>
      </c>
      <c r="C27" s="53" t="s">
        <v>61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I3:AP64"/>
  <sheetViews>
    <sheetView workbookViewId="0" zoomScale="85" zoomScaleNormal="85"/>
  </sheetViews>
  <sheetFormatPr defaultRowHeight="14.4" outlineLevelRow="0" outlineLevelCol="0" x14ac:dyDescent="0.3" customHeight="1"/>
  <cols>
    <col min="9" max="9" width="33.33203125" customWidth="1"/>
    <col min="10" max="10" width="24.88671875" style="58" customWidth="1"/>
    <col min="11" max="11" width="31.33203125" style="58" customWidth="1"/>
    <col min="12" max="12" width="19.21875" style="58" customWidth="1"/>
    <col min="13" max="13" width="20.21875" style="58" customWidth="1"/>
    <col min="14" max="14" width="17.109375" style="58" customWidth="1"/>
    <col min="15" max="15" width="15.5546875" style="58" customWidth="1"/>
    <col min="16" max="16" width="15.21875" customWidth="1"/>
    <col min="17" max="17" width="14.88671875" customWidth="1"/>
    <col min="18" max="18" width="16.77734375" customWidth="1"/>
    <col min="19" max="19" width="10.88671875" customWidth="1"/>
    <col min="20" max="20" width="27.44140625" customWidth="1"/>
    <col min="21" max="21" width="8.21875" customWidth="1"/>
    <col min="22" max="22" width="12.88671875" customWidth="1"/>
    <col min="23" max="23" width="11.33203125" customWidth="1"/>
    <col min="24" max="24" width="14.88671875" customWidth="1"/>
    <col min="25" max="25" width="19.33203125" customWidth="1"/>
    <col min="26" max="26" width="18.77734375" customWidth="1"/>
    <col min="27" max="27" width="20.33203125" customWidth="1"/>
    <col min="28" max="29" width="19.33203125" customWidth="1"/>
    <col min="30" max="30" width="19.44140625" customWidth="1"/>
    <col min="31" max="31" width="7.6640625" customWidth="1"/>
    <col min="32" max="32" width="25.77734375" customWidth="1"/>
    <col min="33" max="33" width="8" customWidth="1"/>
    <col min="34" max="34" width="12.44140625" customWidth="1"/>
    <col min="35" max="35" width="10.77734375" customWidth="1"/>
    <col min="36" max="36" width="14.44140625" customWidth="1"/>
    <col min="37" max="37" width="19.33203125" customWidth="1"/>
    <col min="38" max="38" width="23" customWidth="1"/>
    <col min="39" max="39" width="20.33203125" customWidth="1"/>
    <col min="40" max="40" width="18.88671875" customWidth="1"/>
    <col min="42" max="42" width="12.21875" customWidth="1"/>
  </cols>
  <sheetData>
    <row r="3" spans="10:10" x14ac:dyDescent="0.25">
      <c r="J3" s="58"/>
    </row>
    <row r="4" spans="20:40" x14ac:dyDescent="0.25">
      <c r="T4" s="65" t="s">
        <v>62</v>
      </c>
      <c r="U4" s="66"/>
      <c r="V4" s="66"/>
      <c r="W4" s="66"/>
      <c r="X4" s="66"/>
      <c r="Y4" s="66"/>
      <c r="Z4" s="66"/>
      <c r="AA4" s="66"/>
      <c r="AB4" s="67"/>
      <c r="AC4" s="68"/>
      <c r="AD4" s="68"/>
      <c r="AE4" s="4"/>
      <c r="AF4" s="69" t="s">
        <v>63</v>
      </c>
      <c r="AG4" s="70"/>
      <c r="AH4" s="70"/>
      <c r="AI4" s="70"/>
      <c r="AJ4" s="70"/>
      <c r="AK4" s="70"/>
      <c r="AL4" s="70"/>
      <c r="AM4" s="70"/>
      <c r="AN4" s="71"/>
    </row>
    <row r="5" spans="9:40" x14ac:dyDescent="0.25">
      <c r="I5" s="72" t="str">
        <f>Summary!B7</f>
        <v>01_Home</v>
      </c>
      <c r="J5" s="73" t="s">
        <v>64</v>
      </c>
      <c r="K5" s="74" t="s">
        <v>65</v>
      </c>
      <c r="L5" t="s">
        <v>66</v>
      </c>
      <c r="M5" s="75" t="s">
        <v>67</v>
      </c>
      <c r="N5" s="74" t="s">
        <v>65</v>
      </c>
      <c r="O5" t="s">
        <v>66</v>
      </c>
      <c r="P5" t="s">
        <v>68</v>
      </c>
      <c r="Q5" t="s">
        <v>69</v>
      </c>
      <c r="T5" s="76" t="s">
        <v>70</v>
      </c>
      <c r="U5" s="76" t="s">
        <v>71</v>
      </c>
      <c r="V5" s="76" t="s">
        <v>72</v>
      </c>
      <c r="W5" s="76" t="s">
        <v>73</v>
      </c>
      <c r="X5" s="76" t="s">
        <v>74</v>
      </c>
      <c r="Y5" s="76" t="s">
        <v>75</v>
      </c>
      <c r="Z5" s="76" t="s">
        <v>76</v>
      </c>
      <c r="AA5" s="76" t="s">
        <v>77</v>
      </c>
      <c r="AB5" s="76" t="s">
        <v>78</v>
      </c>
      <c r="AC5" s="58"/>
      <c r="AD5" s="58"/>
      <c r="AE5" s="58"/>
      <c r="AF5" s="76" t="s">
        <v>79</v>
      </c>
      <c r="AG5" s="76" t="s">
        <v>71</v>
      </c>
      <c r="AH5" s="76" t="s">
        <v>80</v>
      </c>
      <c r="AI5" s="76" t="s">
        <v>73</v>
      </c>
      <c r="AJ5" s="76" t="s">
        <v>74</v>
      </c>
      <c r="AK5" s="76" t="s">
        <v>75</v>
      </c>
      <c r="AL5" s="76" t="s">
        <v>81</v>
      </c>
      <c r="AM5" s="76" t="s">
        <v>77</v>
      </c>
      <c r="AN5" s="76" t="s">
        <v>82</v>
      </c>
    </row>
    <row r="6" spans="9:40" x14ac:dyDescent="0.25">
      <c r="I6" s="74" t="s">
        <v>83</v>
      </c>
      <c r="J6" s="72" t="str">
        <f t="array" ref="J6">IF(L6="Desktop", "Desktop", IF(L6="Mobile", "Mobile", INDIRECT(L6)))</f>
        <v>Desktop</v>
      </c>
      <c r="K6" s="77">
        <f>IF(AND(U6=TRUE, AB6=TRUE), AB6, MAX(Summary!D7:'Summary'!E8))</f>
        <v>0</v>
      </c>
      <c r="L6" s="58" t="str">
        <f>IF(NOT(AA6=FALSE), AA6,
    IF(LEFT(MID(P6,FIND("!",P6)+1,LEN(P6)),1)="D",
        LEFT(P6,FIND("!",P6)) &amp; CHAR(CODE(LEFT(MID(P6,FIND("!",P6)+1,LEN(P6)),1))-1) &amp; MID(P6,FIND("!",P6)+2,LEN(P6)),
        LEFT(P6,FIND("!",P6)) &amp; CHAR(CODE(LEFT(MID(P6,FIND("!",P6)+1,LEN(P6)),1))-2) &amp; MID(P6,FIND("!",P6)+2,LEN(P6))))</f>
        <v>Desktop</v>
      </c>
      <c r="M6" s="72" t="str">
        <f t="array" ref="M6">IF(O6="Desktop", "Desktop", IF(O6="Mobile", "Mobile", INDIRECT(O6)))</f>
        <v>Desktop</v>
      </c>
      <c r="N6" s="77">
        <f>IF(AND(AG6=TRUE, AN6=TRUE), AN6, MIN(Summary!D7:'Summary'!E8))</f>
        <v>0</v>
      </c>
      <c r="O6" s="58" t="str">
        <f>IF(NOT(AM6=FALSE), AM6,
    IF(LEFT(MID(Q6,FIND("!",Q6)+1,LEN(Q6)),1)="D",
        LEFT(Q6,FIND("!",Q6)) &amp; CHAR(CODE(LEFT(MID(Q6,FIND("!",Q6)+1,LEN(Q6)),1))-1) &amp; MID(Q6,FIND("!",Q6)+2,LEN(Q6)),
        LEFT(Q6,FIND("!",Q6)) &amp; CHAR(CODE(LEFT(MID(Q6,FIND("!",Q6)+1,LEN(Q6)),1))-2) &amp; MID(Q6,FIND("!",Q6)+2,LEN(Q6))))</f>
        <v>Desktop</v>
      </c>
      <c r="P6" s="78" t="str">
        <f t="array" ref="P6">"Summary!" &amp; ADDRESS(MIN(IF(Summary!D7:E8=K6,ROW(Summary!D7:E8))), MIN(IF(Summary!D7:E8=K6,COLUMN(Summary!D7:E8))), 4)</f>
        <v>Summary!D7</v>
      </c>
      <c r="Q6" s="78" t="str">
        <f t="array" ref="Q6">"Summary!" &amp; ADDRESS(MIN(IF(Summary!D7:E8=N6,ROW(Summary!D7:E8))), MIN(IF(Summary!D7:E8=N6,COLUMN(Summary!D7:E8))), 4)</f>
        <v>Summary!D7</v>
      </c>
      <c r="T6" s="79">
        <f>MAX(Summary!D7:E7)</f>
        <v>0</v>
      </c>
      <c r="U6" s="79" t="b">
        <f>IF(T6=T7,  TRUE, FALSE)</f>
        <v>1</v>
      </c>
      <c r="V6" s="79" t="b">
        <f>IF(U6=TRUE, FALSE, MAX(Summary!D7:E8))</f>
        <v>0</v>
      </c>
      <c r="W6" s="76" t="b">
        <f t="array" ref="W6">IF(V6=FALSE, FALSE, ADDRESS(MAX(IF(Summary!D7:E8=V6,ROW(Summary!D7:E8))), MAX(IF(Summary!D7:E8=V6,COLUMN(Summary!D7:E8))), 4))</f>
        <v>0</v>
      </c>
      <c r="X6" s="76" t="b">
        <f>IF(U6=TRUE, IF(Summary!E7=Summary!D7, TRUE, FALSE),FALSE)</f>
        <v>1</v>
      </c>
      <c r="Y6" s="76" t="str">
        <f>IF(X6=TRUE, "Desktop")</f>
        <v>Desktop</v>
      </c>
      <c r="Z6" s="76">
        <f>IF(AND(Y6="Desktop", U6=TRUE), T6, FALSE)</f>
        <v>0</v>
      </c>
      <c r="AA6" s="76" t="str">
        <f>IF(NOT(Z6=FALSE), Y6, IF(NOT(Z7=FALSE),Y7, FALSE))</f>
        <v>Desktop</v>
      </c>
      <c r="AB6" s="76">
        <f>IF(NOT(Z6=FALSE), Z6, IF(NOT(Z7=FALSE), Z7, V6))</f>
        <v>0</v>
      </c>
      <c r="AC6" s="58"/>
      <c r="AD6" s="58"/>
      <c r="AE6" s="58"/>
      <c r="AF6" s="79">
        <f>MIN(Summary!D7:E7)</f>
        <v>0</v>
      </c>
      <c r="AG6" s="79" t="b">
        <f>IF(AF6=AF7,  TRUE, FALSE)</f>
        <v>1</v>
      </c>
      <c r="AH6" s="79" t="b">
        <f>IF(AG6=TRUE, FALSE, MIN(Summary!D7:E8))</f>
        <v>0</v>
      </c>
      <c r="AI6" s="76" t="b">
        <f t="array" ref="AI6">IF(AH6=FALSE, FALSE, ADDRESS(MIN(IF(Summary!D7:E8=AH6,ROW(Summary!D7:E8))), MIN(IF(Summary!D7:E8=AH6,COLUMN(Summary!D7:E8))), 4))</f>
        <v>0</v>
      </c>
      <c r="AJ6" s="76" t="b">
        <f>IF(AG6=TRUE, IF(Summary!D7=Summary!E7, TRUE, FALSE),FALSE)</f>
        <v>1</v>
      </c>
      <c r="AK6" s="76" t="str">
        <f>IF(AJ6=TRUE, "Desktop")</f>
        <v>Desktop</v>
      </c>
      <c r="AL6" s="76">
        <f>IF(AND(AK6="Desktop", AG6=TRUE), AF6, FALSE)</f>
        <v>0</v>
      </c>
      <c r="AM6" s="76" t="str">
        <f>IF(NOT(AL6=FALSE), AK6, IF(NOT(AL7=FALSE),AK7, FALSE))</f>
        <v>Desktop</v>
      </c>
      <c r="AN6" s="76">
        <f>IF(NOT(AL6=FALSE), AL6, IF(NOT(AL7=FALSE), AL7, AH6))</f>
        <v>0</v>
      </c>
    </row>
    <row r="7" spans="9:40" x14ac:dyDescent="0.25">
      <c r="I7" s="74" t="s">
        <v>84</v>
      </c>
      <c r="J7" s="72" t="str">
        <f>IF(J6="Desktop",IF(Summary!D7=Summary!E7,"with and without cache",(IF(Summary!D7&gt;Summary!E7,"with cache","without cache"))),IF(Summary!D8=Summary!E8,"with and without cache",(IF(Summary!D8&gt;Summary!E8,"with cache","without cache"))))</f>
        <v>with and without cache</v>
      </c>
      <c r="L7" s="72"/>
      <c r="M7" s="80" t="str">
        <f>IF(M6="Desktop",IF(Summary!D7=Summary!E7,"with and without cache",IF(Summary!D7&lt;Summary!E7,"with cache","without cache")),IF(Summary!D8=Summary!E8,"with and without cache",IF(Summary!D8&lt;Summary!E8,"with cache","without cache")))</f>
        <v>with and without cache</v>
      </c>
      <c r="N7" s="72"/>
      <c r="P7" s="78"/>
      <c r="Q7" s="78"/>
      <c r="T7" s="79">
        <f>MAX(Summary!D8:E8)</f>
        <v>0</v>
      </c>
      <c r="U7" s="79" t="b">
        <f>IF(T6=T7,  TRUE, FALSE)</f>
        <v>1</v>
      </c>
      <c r="V7" s="79" t="b">
        <f>IF(U7=TRUE, FALSE, MAX(Summary!D8:E9))</f>
        <v>0</v>
      </c>
      <c r="W7" s="76" t="b">
        <f t="array" ref="W7">IF(V7=FALSE, FALSE, ADDRESS(MAX(IF(Summary!D8:E9=V7,ROW(Summary!D8:E9))), MAX(IF(Summary!D8:E9=V7,COLUMN(Summary!D8:E9))), 4))</f>
        <v>0</v>
      </c>
      <c r="X7" s="76" t="b">
        <f>IF(U7=TRUE, IF(Summary!E8=Summary!D8, TRUE, FALSE),FALSE)</f>
        <v>1</v>
      </c>
      <c r="Y7" s="76" t="str">
        <f>IF(X7=TRUE, "Mobile")</f>
        <v>Mobile</v>
      </c>
      <c r="Z7" s="76">
        <f>IF(AND(Y7="Mobile", U7=TRUE), T7, FALSE)</f>
        <v>0</v>
      </c>
      <c r="AA7" s="76"/>
      <c r="AB7" s="76"/>
      <c r="AC7" s="58"/>
      <c r="AD7" s="58"/>
      <c r="AE7" s="58"/>
      <c r="AF7" s="79">
        <f>MIN(Summary!D8:E8)</f>
        <v>0</v>
      </c>
      <c r="AG7" s="79" t="b">
        <f>IF(AF6=AF7,  TRUE, FALSE)</f>
        <v>1</v>
      </c>
      <c r="AH7" s="79" t="b">
        <f>IF(AG7=TRUE, FALSE, MIN(Summary!D8:E9))</f>
        <v>0</v>
      </c>
      <c r="AI7" s="76" t="b">
        <f t="array" ref="AI7">IF(AH7=FALSE, FALSE, ADDRESS(MIN(IF(Summary!D7:E8=AH7,ROW(Summary!D7:E8))), MIN(IF(Summary!D7:E8=AH7,COLUMN(Summary!D7:E8))), 4))</f>
        <v>0</v>
      </c>
      <c r="AJ7" s="76" t="b">
        <f>IF(AG7=TRUE, IF(Summary!D8=Summary!E8, TRUE, FALSE),FALSE)</f>
        <v>1</v>
      </c>
      <c r="AK7" s="76" t="str">
        <f>IF(AJ7=TRUE, "Mobile")</f>
        <v>Mobile</v>
      </c>
      <c r="AL7" s="76">
        <f>IF(AND(AK7="Mobile", AG7=TRUE), AF7, FALSE)</f>
        <v>0</v>
      </c>
      <c r="AM7" s="76"/>
      <c r="AN7" s="76"/>
    </row>
    <row r="8" spans="15:40" x14ac:dyDescent="0.25">
      <c r="O8" s="78"/>
      <c r="P8" s="78"/>
      <c r="Q8" s="7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  <c r="AG8" s="58"/>
      <c r="AH8" s="58"/>
      <c r="AI8" s="58"/>
      <c r="AJ8" s="58"/>
      <c r="AK8" s="58"/>
      <c r="AL8" s="58"/>
      <c r="AM8" s="58"/>
      <c r="AN8" s="58"/>
    </row>
    <row r="9" spans="9:40" x14ac:dyDescent="0.25">
      <c r="I9" s="72" t="str">
        <f>Summary!B11</f>
        <v>02_Testing</v>
      </c>
      <c r="J9" s="73" t="s">
        <v>64</v>
      </c>
      <c r="K9" s="74" t="s">
        <v>65</v>
      </c>
      <c r="L9" t="s">
        <v>66</v>
      </c>
      <c r="M9" s="75" t="s">
        <v>67</v>
      </c>
      <c r="N9" s="74" t="s">
        <v>65</v>
      </c>
      <c r="O9" t="s">
        <v>66</v>
      </c>
      <c r="P9" t="s">
        <v>68</v>
      </c>
      <c r="Q9" t="s">
        <v>69</v>
      </c>
      <c r="T9" s="76" t="s">
        <v>70</v>
      </c>
      <c r="U9" s="76" t="s">
        <v>71</v>
      </c>
      <c r="V9" s="76" t="s">
        <v>72</v>
      </c>
      <c r="W9" s="76" t="s">
        <v>73</v>
      </c>
      <c r="X9" s="76" t="s">
        <v>74</v>
      </c>
      <c r="Y9" s="76" t="s">
        <v>75</v>
      </c>
      <c r="Z9" s="76" t="s">
        <v>76</v>
      </c>
      <c r="AA9" s="76" t="s">
        <v>77</v>
      </c>
      <c r="AB9" s="76" t="s">
        <v>78</v>
      </c>
      <c r="AC9" s="58"/>
      <c r="AD9" s="58"/>
      <c r="AE9" s="58"/>
      <c r="AF9" s="76" t="s">
        <v>79</v>
      </c>
      <c r="AG9" s="76" t="s">
        <v>71</v>
      </c>
      <c r="AH9" s="76" t="s">
        <v>80</v>
      </c>
      <c r="AI9" s="76" t="s">
        <v>73</v>
      </c>
      <c r="AJ9" s="76" t="s">
        <v>74</v>
      </c>
      <c r="AK9" s="76" t="s">
        <v>75</v>
      </c>
      <c r="AL9" s="76" t="s">
        <v>81</v>
      </c>
      <c r="AM9" s="76" t="s">
        <v>77</v>
      </c>
      <c r="AN9" s="76" t="s">
        <v>82</v>
      </c>
    </row>
    <row r="10" spans="9:40" x14ac:dyDescent="0.25">
      <c r="I10" s="74" t="s">
        <v>83</v>
      </c>
      <c r="J10" s="72" t="str">
        <f t="array" ref="J10">IF(L10="Desktop", "Desktop", IF(L10="Mobile", "Mobile", INDIRECT(L10)))</f>
        <v>Desktop</v>
      </c>
      <c r="K10" s="77">
        <f>IF(AND(U10=TRUE, AB10=TRUE), AB10, MAX(Summary!D11:'Summary'!E12))</f>
        <v>0</v>
      </c>
      <c r="L10" s="58" t="str">
        <f>IF(NOT(AA10=FALSE), AA10,
    IF(LEFT(MID(P10,FIND("!",P10)+1,LEN(P10)),1)="D",
        LEFT(P10,FIND("!",P10)) &amp; CHAR(CODE(LEFT(MID(P10,FIND("!",P10)+1,LEN(P10)),1))-1) &amp; MID(P10,FIND("!",P10)+2,LEN(P10)),
        LEFT(P10,FIND("!",P10)) &amp; CHAR(CODE(LEFT(MID(P10,FIND("!",P10)+1,LEN(P10)),1))-2) &amp; MID(P10,FIND("!",P10)+2,LEN(P10))))</f>
        <v>Desktop</v>
      </c>
      <c r="M10" s="72" t="str">
        <f t="array" ref="M10">IF(O10="Desktop", "Desktop", IF(O10="Mobile", "Mobile", INDIRECT(O10)))</f>
        <v>Desktop</v>
      </c>
      <c r="N10" s="77">
        <f>IF(AND(AG10=TRUE, AN10=TRUE), AN10, MIN(Summary!D11:'Summary'!E12))</f>
        <v>0</v>
      </c>
      <c r="O10" s="58" t="str">
        <f>IF(NOT(AM10=FALSE), AM10,
    IF(LEFT(MID(Q10,FIND("!",Q10)+1,LEN(Q10)),1)="D",
        LEFT(Q10,FIND("!",Q10)) &amp; CHAR(CODE(LEFT(MID(Q10,FIND("!",Q10)+1,LEN(Q10)),1))-1) &amp; MID(Q10,FIND("!",Q10)+2,LEN(Q10)),
        LEFT(Q10,FIND("!",Q10)) &amp; CHAR(CODE(LEFT(MID(Q10,FIND("!",Q10)+1,LEN(Q10)),1))-2) &amp; MID(Q10,FIND("!",Q10)+2,LEN(Q10))))</f>
        <v>Desktop</v>
      </c>
      <c r="P10" s="78" t="str">
        <f t="array" ref="P10">"Summary!" &amp; ADDRESS(MIN(IF(Summary!D11:E12=K10,ROW(Summary!D11:E12))), MIN(IF(Summary!D11:E12=K10,COLUMN(Summary!D11:E12))), 4)</f>
        <v>Summary!D11</v>
      </c>
      <c r="Q10" s="78" t="str">
        <f t="array" ref="Q10">"Summary!" &amp; ADDRESS(MIN(IF(Summary!D11:E12=N10,ROW(Summary!D11:E12))), MIN(IF(Summary!D11:E12=N10,COLUMN(Summary!D11:E12))), 4)</f>
        <v>Summary!D11</v>
      </c>
      <c r="T10" s="79">
        <f>MAX(Summary!D11:E11)</f>
        <v>0</v>
      </c>
      <c r="U10" s="79" t="b">
        <f>IF(T10=T11,  TRUE, FALSE)</f>
        <v>1</v>
      </c>
      <c r="V10" s="79" t="b">
        <f>IF(U10=TRUE, FALSE, MAX(Summary!D11:E12))</f>
        <v>0</v>
      </c>
      <c r="W10" s="76" t="b">
        <f t="array" ref="W10">IF(V10=FALSE, FALSE, ADDRESS(MAX(IF(Summary!D11:E12=V10,ROW(Summary!D11:E12))), MAX(IF(Summary!D11:E12=V10,COLUMN(Summary!D11:E12))), 4))</f>
        <v>0</v>
      </c>
      <c r="X10" s="76" t="b">
        <f>IF(U10=TRUE, IF(Summary!E11=Summary!D11, TRUE, FALSE),FALSE)</f>
        <v>1</v>
      </c>
      <c r="Y10" s="76" t="str">
        <f>IF(X10=TRUE, "Desktop")</f>
        <v>Desktop</v>
      </c>
      <c r="Z10" s="76">
        <f>IF(AND(Y10="Desktop", U10=TRUE), T10, FALSE)</f>
        <v>0</v>
      </c>
      <c r="AA10" s="76" t="str">
        <f>IF(NOT(Z10=FALSE), Y10, IF(NOT(Z11=FALSE),Y11, FALSE))</f>
        <v>Desktop</v>
      </c>
      <c r="AB10" s="76">
        <f>IF(NOT(Z10=FALSE), Z10, IF(NOT(Z11=FALSE), Z11, V10))</f>
        <v>0</v>
      </c>
      <c r="AC10" s="58"/>
      <c r="AD10" s="58"/>
      <c r="AE10" s="58"/>
      <c r="AF10" s="79">
        <f>MIN(Summary!D11:E11)</f>
        <v>0</v>
      </c>
      <c r="AG10" s="79" t="b">
        <f>IF(AF10=AF11,  TRUE, FALSE)</f>
        <v>1</v>
      </c>
      <c r="AH10" s="79" t="b">
        <f>IF(AG10=TRUE, FALSE, MIN(Summary!D11:E12))</f>
        <v>0</v>
      </c>
      <c r="AI10" s="76" t="b">
        <f t="array" ref="AI10">IF(AH10=FALSE, FALSE, ADDRESS(MIN(IF(Summary!D11:E12=AH10,ROW(Summary!D11:E12))), MIN(IF(Summary!D11:E12=AH10,COLUMN(Summary!D11:E12))), 4))</f>
        <v>0</v>
      </c>
      <c r="AJ10" s="76" t="b">
        <f>IF(AG10=TRUE, IF(Summary!D11=Summary!E11, TRUE, FALSE),FALSE)</f>
        <v>1</v>
      </c>
      <c r="AK10" s="76" t="str">
        <f>IF(AJ10=TRUE, "Desktop")</f>
        <v>Desktop</v>
      </c>
      <c r="AL10" s="76">
        <f>IF(AND(AK10="Desktop", AG10=TRUE), AF10, FALSE)</f>
        <v>0</v>
      </c>
      <c r="AM10" s="76" t="str">
        <f>IF(NOT(AL10=FALSE), AK10, IF(NOT(AL11=FALSE),AK11, FALSE))</f>
        <v>Desktop</v>
      </c>
      <c r="AN10" s="76">
        <f>IF(NOT(AL10=FALSE), AL10, IF(NOT(AL11=FALSE), AL11, AH10))</f>
        <v>0</v>
      </c>
    </row>
    <row r="11" spans="9:40" x14ac:dyDescent="0.25">
      <c r="I11" s="74" t="s">
        <v>84</v>
      </c>
      <c r="J11" s="72" t="str">
        <f>IF(J10="Desktop",IF(Summary!D11=Summary!E11,"with and without cache",(IF(Summary!D11&gt;Summary!E11,"with cache","without cache"))),IF(Summary!D12=Summary!E12,"with and without cache",(IF(Summary!D12&gt;Summary!E12,"with cache","without cache"))))</f>
        <v>with and without cache</v>
      </c>
      <c r="L11" s="72"/>
      <c r="M11" s="80" t="str">
        <f>IF(M10="Desktop",IF(Summary!D11=Summary!E11,"with and without cache",IF(Summary!D11&lt;Summary!E11,"with cache","without cache")),IF(Summary!D12=Summary!E12,"with and without cache",IF(Summary!D12&lt;Summary!E12,"with cache","without cache")))</f>
        <v>with and without cache</v>
      </c>
      <c r="N11" s="72"/>
      <c r="P11" s="78"/>
      <c r="Q11" s="78"/>
      <c r="T11" s="79">
        <f>MAX(Summary!D12:E12)</f>
        <v>0</v>
      </c>
      <c r="U11" s="79" t="b">
        <f>IF(T10=T11,  TRUE, FALSE)</f>
        <v>1</v>
      </c>
      <c r="V11" s="79" t="b">
        <f>IF(U11=TRUE, FALSE, MAX(Summary!D12:E13))</f>
        <v>0</v>
      </c>
      <c r="W11" s="76" t="b">
        <f t="array" ref="W11">IF(V11=FALSE, FALSE, ADDRESS(MAX(IF(Summary!D12:E13=V11,ROW(Summary!D12:E13))), MAX(IF(Summary!D12:E13=V11,COLUMN(Summary!D12:E13))), 4))</f>
        <v>0</v>
      </c>
      <c r="X11" s="76" t="b">
        <f>IF(U11=TRUE, IF(Summary!E12=Summary!D12, TRUE, FALSE),FALSE)</f>
        <v>1</v>
      </c>
      <c r="Y11" s="76" t="str">
        <f>IF(X11=TRUE, "Mobile")</f>
        <v>Mobile</v>
      </c>
      <c r="Z11" s="76">
        <f>IF(AND(Y11="Mobile", U11=TRUE), T11, FALSE)</f>
        <v>0</v>
      </c>
      <c r="AA11" s="76"/>
      <c r="AB11" s="76"/>
      <c r="AC11" s="58"/>
      <c r="AD11" s="58"/>
      <c r="AE11" s="58"/>
      <c r="AF11" s="79">
        <f>MIN(Summary!D12:E12)</f>
        <v>0</v>
      </c>
      <c r="AG11" s="79" t="b">
        <f>IF(AF10=AF11,  TRUE, FALSE)</f>
        <v>1</v>
      </c>
      <c r="AH11" s="79" t="b">
        <f>IF(AG11=TRUE, FALSE, MIN(Summary!D12:E13))</f>
        <v>0</v>
      </c>
      <c r="AI11" s="76" t="b">
        <f t="array" ref="AI11">IF(AH11=FALSE, FALSE, ADDRESS(MIN(IF(Summary!D11:E12=AH11,ROW(Summary!D11:E12))), MIN(IF(Summary!D11:E12=AH11,COLUMN(Summary!D11:E12))), 4))</f>
        <v>0</v>
      </c>
      <c r="AJ11" s="76" t="b">
        <f>IF(AG11=TRUE, IF(Summary!D12=Summary!E12, TRUE, FALSE),FALSE)</f>
        <v>1</v>
      </c>
      <c r="AK11" s="76" t="str">
        <f>IF(AJ11=TRUE, "Mobile")</f>
        <v>Mobile</v>
      </c>
      <c r="AL11" s="76">
        <f>IF(AND(AK11="Mobile", AG11=TRUE), AF11, FALSE)</f>
        <v>0</v>
      </c>
      <c r="AM11" s="76"/>
      <c r="AN11" s="76"/>
    </row>
    <row r="12" spans="15:40" x14ac:dyDescent="0.25">
      <c r="O12" s="78"/>
      <c r="P12" s="78"/>
      <c r="Q12" s="78"/>
      <c r="T12" s="58"/>
      <c r="U12" s="58"/>
      <c r="V12" s="58"/>
      <c r="W12" s="58"/>
      <c r="X12" s="58"/>
      <c r="Y12" s="58"/>
      <c r="Z12" s="58"/>
      <c r="AA12" s="58"/>
      <c r="AB12" s="58"/>
      <c r="AC12" s="58"/>
      <c r="AD12" s="58"/>
      <c r="AE12" s="58"/>
      <c r="AF12" s="58"/>
      <c r="AG12" s="58"/>
      <c r="AH12" s="58"/>
      <c r="AI12" s="58"/>
      <c r="AJ12" s="58"/>
      <c r="AK12" s="58"/>
      <c r="AL12" s="58"/>
      <c r="AM12" s="58"/>
      <c r="AN12" s="58"/>
    </row>
    <row r="13" spans="9:40" x14ac:dyDescent="0.25">
      <c r="I13" s="72" t="str">
        <f>Summary!B15</f>
        <v>03_About</v>
      </c>
      <c r="J13" s="73" t="s">
        <v>64</v>
      </c>
      <c r="K13" s="74" t="s">
        <v>65</v>
      </c>
      <c r="L13" t="s">
        <v>66</v>
      </c>
      <c r="M13" s="75" t="s">
        <v>67</v>
      </c>
      <c r="N13" s="74" t="s">
        <v>65</v>
      </c>
      <c r="O13" t="s">
        <v>66</v>
      </c>
      <c r="P13" t="s">
        <v>68</v>
      </c>
      <c r="Q13" t="s">
        <v>69</v>
      </c>
      <c r="T13" s="76" t="s">
        <v>70</v>
      </c>
      <c r="U13" s="76" t="s">
        <v>71</v>
      </c>
      <c r="V13" s="76" t="s">
        <v>72</v>
      </c>
      <c r="W13" s="76" t="s">
        <v>73</v>
      </c>
      <c r="X13" s="76" t="s">
        <v>74</v>
      </c>
      <c r="Y13" s="76" t="s">
        <v>75</v>
      </c>
      <c r="Z13" s="76" t="s">
        <v>76</v>
      </c>
      <c r="AA13" s="76" t="s">
        <v>77</v>
      </c>
      <c r="AB13" s="76" t="s">
        <v>78</v>
      </c>
      <c r="AC13" s="58"/>
      <c r="AD13" s="58"/>
      <c r="AE13" s="58"/>
      <c r="AF13" s="76" t="s">
        <v>79</v>
      </c>
      <c r="AG13" s="76" t="s">
        <v>71</v>
      </c>
      <c r="AH13" s="76" t="s">
        <v>80</v>
      </c>
      <c r="AI13" s="76" t="s">
        <v>73</v>
      </c>
      <c r="AJ13" s="76" t="s">
        <v>74</v>
      </c>
      <c r="AK13" s="76" t="s">
        <v>75</v>
      </c>
      <c r="AL13" s="76" t="s">
        <v>81</v>
      </c>
      <c r="AM13" s="76" t="s">
        <v>77</v>
      </c>
      <c r="AN13" s="76" t="s">
        <v>82</v>
      </c>
    </row>
    <row r="14" spans="9:40" x14ac:dyDescent="0.25">
      <c r="I14" s="74" t="s">
        <v>83</v>
      </c>
      <c r="J14" s="72" t="str">
        <f t="array" ref="J14">IF(L14="Desktop", "Desktop", IF(L14="Mobile", "Mobile", INDIRECT(L14)))</f>
        <v>Desktop</v>
      </c>
      <c r="K14" s="77">
        <f>IF(AND(U14=TRUE, AB14=TRUE), AB14, MAX(Summary!D15:'Summary'!E16))</f>
        <v>0</v>
      </c>
      <c r="L14" s="58" t="str">
        <f>IF(NOT(AA14=FALSE), AA14,
    IF(LEFT(MID(P14,FIND("!",P14)+1,LEN(P14)),1)="D",
        LEFT(P14,FIND("!",P14)) &amp; CHAR(CODE(LEFT(MID(P14,FIND("!",P14)+1,LEN(P14)),1))-1) &amp; MID(P14,FIND("!",P14)+2,LEN(P14)),
        LEFT(P14,FIND("!",P14)) &amp; CHAR(CODE(LEFT(MID(P14,FIND("!",P14)+1,LEN(P14)),1))-2) &amp; MID(P14,FIND("!",P14)+2,LEN(P14))))</f>
        <v>Desktop</v>
      </c>
      <c r="M14" s="72" t="str">
        <f t="array" ref="M14">IF(O14="Desktop", "Desktop", IF(O14="Mobile", "Mobile", INDIRECT(O14)))</f>
        <v>Desktop</v>
      </c>
      <c r="N14" s="77">
        <f>IF(AND(AG14=TRUE, AN14=TRUE), AN14, MIN(Summary!D15:'Summary'!E16))</f>
        <v>0</v>
      </c>
      <c r="O14" s="58" t="str">
        <f>IF(NOT(AM14=FALSE), AM14,
    IF(LEFT(MID(Q14,FIND("!",Q14)+1,LEN(Q14)),1)="D",
        LEFT(Q14,FIND("!",Q14)) &amp; CHAR(CODE(LEFT(MID(Q14,FIND("!",Q14)+1,LEN(Q14)),1))-1) &amp; MID(Q14,FIND("!",Q14)+2,LEN(Q14)),
        LEFT(Q14,FIND("!",Q14)) &amp; CHAR(CODE(LEFT(MID(Q14,FIND("!",Q14)+1,LEN(Q14)),1))-2) &amp; MID(Q14,FIND("!",Q14)+2,LEN(Q14))))</f>
        <v>Desktop</v>
      </c>
      <c r="P14" s="78" t="str">
        <f t="array" ref="P14">"Summary!" &amp; ADDRESS(MIN(IF(Summary!D15:E16=K14,ROW(Summary!D15:E16))), MIN(IF(Summary!D15:E16=K14,COLUMN(Summary!D15:E16))), 4)</f>
        <v>Summary!D15</v>
      </c>
      <c r="Q14" s="78" t="str">
        <f t="array" ref="Q14">"Summary!" &amp; ADDRESS(MIN(IF(Summary!D15:E16=N14,ROW(Summary!D15:E16))), MIN(IF(Summary!D15:E16=N14,COLUMN(Summary!D15:E16))), 4)</f>
        <v>Summary!D15</v>
      </c>
      <c r="T14" s="79">
        <f>MAX(Summary!D15:E15)</f>
        <v>0</v>
      </c>
      <c r="U14" s="79" t="b">
        <f>IF(T14=T15,  TRUE, FALSE)</f>
        <v>1</v>
      </c>
      <c r="V14" s="79" t="b">
        <f>IF(U14=TRUE, FALSE, MAX(Summary!D15:E16))</f>
        <v>0</v>
      </c>
      <c r="W14" s="76" t="b">
        <f t="array" ref="W14">IF(V14=FALSE, FALSE, ADDRESS(MAX(IF(Summary!D15:E16=V14,ROW(Summary!D15:E16))), MAX(IF(Summary!D15:E16=V14,COLUMN(Summary!D15:E16))), 4))</f>
        <v>0</v>
      </c>
      <c r="X14" s="76" t="b">
        <f>IF(U14=TRUE, IF(Summary!E15=Summary!D15, TRUE, FALSE),FALSE)</f>
        <v>1</v>
      </c>
      <c r="Y14" s="76" t="str">
        <f>IF(X14=TRUE, "Desktop")</f>
        <v>Desktop</v>
      </c>
      <c r="Z14" s="76">
        <f>IF(AND(Y14="Desktop", U14=TRUE), T14, FALSE)</f>
        <v>0</v>
      </c>
      <c r="AA14" s="76" t="str">
        <f>IF(NOT(Z14=FALSE), Y14, IF(NOT(Z15=FALSE),Y15, FALSE))</f>
        <v>Desktop</v>
      </c>
      <c r="AB14" s="76">
        <f>IF(NOT(Z14=FALSE), Z14, IF(NOT(Z15=FALSE), Z15, V14))</f>
        <v>0</v>
      </c>
      <c r="AC14" s="58"/>
      <c r="AD14" s="58"/>
      <c r="AE14" s="58"/>
      <c r="AF14" s="79">
        <f>MIN(Summary!D15:E15)</f>
        <v>0</v>
      </c>
      <c r="AG14" s="79" t="b">
        <f>IF(AF14=AF15,  TRUE, FALSE)</f>
        <v>1</v>
      </c>
      <c r="AH14" s="79" t="b">
        <f>IF(AG14=TRUE, FALSE, MIN(Summary!D15:E16))</f>
        <v>0</v>
      </c>
      <c r="AI14" s="76" t="b">
        <f t="array" ref="AI14">IF(AH14=FALSE, FALSE, ADDRESS(MIN(IF(Summary!D15:E16=AH14,ROW(Summary!D15:E16))), MIN(IF(Summary!D15:E16=AH14,COLUMN(Summary!D15:E16))), 4))</f>
        <v>0</v>
      </c>
      <c r="AJ14" s="76" t="b">
        <f>IF(AG14=TRUE, IF(Summary!D15=Summary!E15, TRUE, FALSE),FALSE)</f>
        <v>1</v>
      </c>
      <c r="AK14" s="76" t="str">
        <f>IF(AJ14=TRUE, "Desktop")</f>
        <v>Desktop</v>
      </c>
      <c r="AL14" s="76">
        <f>IF(AND(AK14="Desktop", AG14=TRUE), AF14, FALSE)</f>
        <v>0</v>
      </c>
      <c r="AM14" s="76" t="str">
        <f>IF(NOT(AL14=FALSE), AK14, IF(NOT(AL15=FALSE),AK15, FALSE))</f>
        <v>Desktop</v>
      </c>
      <c r="AN14" s="76">
        <f>IF(NOT(AL14=FALSE), AL14, IF(NOT(AL15=FALSE), AL15, AH14))</f>
        <v>0</v>
      </c>
    </row>
    <row r="15" spans="9:40" x14ac:dyDescent="0.25">
      <c r="I15" s="74" t="s">
        <v>84</v>
      </c>
      <c r="J15" s="72" t="str">
        <f>IF(J14="Desktop",IF(Summary!D15=Summary!E15,"with and without cache",(IF(Summary!D15&gt;Summary!E15,"with cache","without cache"))),IF(Summary!D16=Summary!E16,"with and without cache",(IF(Summary!D16&gt;Summary!E16,"with cache","without cache"))))</f>
        <v>with and without cache</v>
      </c>
      <c r="L15" s="72"/>
      <c r="M15" s="80" t="str">
        <f>IF(M14="Desktop",IF(Summary!D15=Summary!E15,"with and without cache",IF(Summary!D15&lt;Summary!E15,"with cache","without cache")),IF(Summary!D16=Summary!E16,"with and without cache",IF(Summary!D16&lt;Summary!E16,"with cache","without cache")))</f>
        <v>with and without cache</v>
      </c>
      <c r="N15" s="72"/>
      <c r="P15" s="78"/>
      <c r="Q15" s="78"/>
      <c r="T15" s="79">
        <f>MAX(Summary!D16:E16)</f>
        <v>0</v>
      </c>
      <c r="U15" s="79" t="b">
        <f>IF(T14=T15,  TRUE, FALSE)</f>
        <v>1</v>
      </c>
      <c r="V15" s="79" t="b">
        <f>IF(U15=TRUE, FALSE, MAX(Summary!D16:E17))</f>
        <v>0</v>
      </c>
      <c r="W15" s="76" t="b">
        <f t="array" ref="W15">IF(V15=FALSE, FALSE, ADDRESS(MAX(IF(Summary!D16:E17=V15,ROW(Summary!D16:E17))), MAX(IF(Summary!D16:E17=V15,COLUMN(Summary!D16:E17))), 4))</f>
        <v>0</v>
      </c>
      <c r="X15" s="76" t="b">
        <f>IF(U15=TRUE, IF(Summary!E16=Summary!D16, TRUE, FALSE),FALSE)</f>
        <v>1</v>
      </c>
      <c r="Y15" s="76" t="str">
        <f>IF(X15=TRUE, "Mobile")</f>
        <v>Mobile</v>
      </c>
      <c r="Z15" s="76">
        <f>IF(AND(Y15="Mobile", U15=TRUE), T15, FALSE)</f>
        <v>0</v>
      </c>
      <c r="AA15" s="76"/>
      <c r="AB15" s="76"/>
      <c r="AC15" s="58"/>
      <c r="AD15" s="58"/>
      <c r="AE15" s="58"/>
      <c r="AF15" s="79">
        <f>MIN(Summary!D16:E16)</f>
        <v>0</v>
      </c>
      <c r="AG15" s="79" t="b">
        <f>IF(AF14=AF15,  TRUE, FALSE)</f>
        <v>1</v>
      </c>
      <c r="AH15" s="79" t="b">
        <f>IF(AG15=TRUE, FALSE, MIN(Summary!D16:E17))</f>
        <v>0</v>
      </c>
      <c r="AI15" s="76" t="b">
        <f t="array" ref="AI15">IF(AH15=FALSE, FALSE, ADDRESS(MIN(IF(Summary!D15:E16=AH15,ROW(Summary!D15:E16))), MIN(IF(Summary!D15:E16=AH15,COLUMN(Summary!D15:E16))), 4))</f>
        <v>0</v>
      </c>
      <c r="AJ15" s="76" t="b">
        <f>IF(AG15=TRUE, IF(Summary!D16=Summary!E16, TRUE, FALSE),FALSE)</f>
        <v>1</v>
      </c>
      <c r="AK15" s="76" t="str">
        <f>IF(AJ15=TRUE, "Mobile")</f>
        <v>Mobile</v>
      </c>
      <c r="AL15" s="76">
        <f>IF(AND(AK15="Mobile", AG15=TRUE), AF15, FALSE)</f>
        <v>0</v>
      </c>
      <c r="AM15" s="76"/>
      <c r="AN15" s="76"/>
    </row>
    <row r="16" spans="14:40" x14ac:dyDescent="0.25">
      <c r="N16" s="78"/>
      <c r="O16" s="78"/>
      <c r="P16" s="78"/>
      <c r="Q16" s="78"/>
      <c r="T16" s="58"/>
      <c r="U16" s="58"/>
      <c r="V16" s="58"/>
      <c r="W16" s="58"/>
      <c r="X16" s="58"/>
      <c r="Y16" s="58"/>
      <c r="Z16" s="58"/>
      <c r="AA16" s="58"/>
      <c r="AB16" s="58"/>
      <c r="AC16" s="58"/>
      <c r="AD16" s="58"/>
      <c r="AE16" s="58"/>
      <c r="AF16" s="58"/>
      <c r="AG16" s="58"/>
      <c r="AH16" s="58"/>
      <c r="AI16" s="58"/>
      <c r="AJ16" s="58"/>
      <c r="AK16" s="58"/>
      <c r="AL16" s="58"/>
      <c r="AM16" s="58"/>
      <c r="AN16" s="58"/>
    </row>
    <row r="17" spans="9:40" x14ac:dyDescent="0.25">
      <c r="I17" s="72" t="str">
        <f>Summary!B19</f>
        <v>04_News</v>
      </c>
      <c r="J17" s="73" t="s">
        <v>64</v>
      </c>
      <c r="K17" s="74" t="s">
        <v>65</v>
      </c>
      <c r="L17" t="s">
        <v>66</v>
      </c>
      <c r="M17" s="75" t="s">
        <v>67</v>
      </c>
      <c r="N17" s="74" t="s">
        <v>65</v>
      </c>
      <c r="O17" t="s">
        <v>66</v>
      </c>
      <c r="P17" t="s">
        <v>68</v>
      </c>
      <c r="Q17" t="s">
        <v>69</v>
      </c>
      <c r="T17" s="76" t="s">
        <v>70</v>
      </c>
      <c r="U17" s="76" t="s">
        <v>71</v>
      </c>
      <c r="V17" s="76" t="s">
        <v>72</v>
      </c>
      <c r="W17" s="76" t="s">
        <v>73</v>
      </c>
      <c r="X17" s="76" t="s">
        <v>74</v>
      </c>
      <c r="Y17" s="76" t="s">
        <v>75</v>
      </c>
      <c r="Z17" s="76" t="s">
        <v>76</v>
      </c>
      <c r="AA17" s="76" t="s">
        <v>77</v>
      </c>
      <c r="AB17" s="76" t="s">
        <v>78</v>
      </c>
      <c r="AC17" s="58"/>
      <c r="AD17" s="58"/>
      <c r="AE17" s="58"/>
      <c r="AF17" s="76" t="s">
        <v>79</v>
      </c>
      <c r="AG17" s="76" t="s">
        <v>71</v>
      </c>
      <c r="AH17" s="76" t="s">
        <v>80</v>
      </c>
      <c r="AI17" s="76" t="s">
        <v>73</v>
      </c>
      <c r="AJ17" s="76" t="s">
        <v>74</v>
      </c>
      <c r="AK17" s="76" t="s">
        <v>75</v>
      </c>
      <c r="AL17" s="76" t="s">
        <v>81</v>
      </c>
      <c r="AM17" s="76" t="s">
        <v>77</v>
      </c>
      <c r="AN17" s="76" t="s">
        <v>82</v>
      </c>
    </row>
    <row r="18" spans="9:40" x14ac:dyDescent="0.25">
      <c r="I18" s="74" t="s">
        <v>83</v>
      </c>
      <c r="J18" s="72" t="str">
        <f t="array" ref="J18">IF(L18="Desktop", "Desktop", IF(L18="Mobile", "Mobile", INDIRECT(L18)))</f>
        <v>Desktop</v>
      </c>
      <c r="K18" s="77">
        <f>IF(AND(U18=TRUE, AB18=TRUE), AB18, MAX(Summary!D19:'Summary'!E20))</f>
        <v>0</v>
      </c>
      <c r="L18" s="58" t="str">
        <f>IF(NOT(AA18=FALSE), AA18,
    IF(LEFT(MID(P18,FIND("!",P18)+1,LEN(P18)),1)="D",
        LEFT(P18,FIND("!",P18)) &amp; CHAR(CODE(LEFT(MID(P18,FIND("!",P18)+1,LEN(P18)),1))-1) &amp; MID(P18,FIND("!",P18)+2,LEN(P18)),
        LEFT(P18,FIND("!",P18)) &amp; CHAR(CODE(LEFT(MID(P18,FIND("!",P18)+1,LEN(P18)),1))-2) &amp; MID(P18,FIND("!",P18)+2,LEN(P18))))</f>
        <v>Desktop</v>
      </c>
      <c r="M18" s="72" t="str">
        <f t="array" ref="M18">IF(O18="Desktop", "Desktop", IF(O18="Mobile", "Mobile", INDIRECT(O18)))</f>
        <v>Desktop</v>
      </c>
      <c r="N18" s="77">
        <f>IF(AND(AG18=TRUE, AN18=TRUE), AN18, MIN(Summary!D19:'Summary'!E20))</f>
        <v>0</v>
      </c>
      <c r="O18" s="58" t="str">
        <f>IF(NOT(AM18=FALSE), AM18,
    IF(LEFT(MID(Q18,FIND("!",Q18)+1,LEN(Q18)),1)="D",
        LEFT(Q18,FIND("!",Q18)) &amp; CHAR(CODE(LEFT(MID(Q18,FIND("!",Q18)+1,LEN(Q18)),1))-1) &amp; MID(Q18,FIND("!",Q18)+2,LEN(Q18)),
        LEFT(Q18,FIND("!",Q18)) &amp; CHAR(CODE(LEFT(MID(Q18,FIND("!",Q18)+1,LEN(Q18)),1))-2) &amp; MID(Q18,FIND("!",Q18)+2,LEN(Q18))))</f>
        <v>Desktop</v>
      </c>
      <c r="P18" s="78" t="str">
        <f t="array" ref="P18">"Summary!" &amp; ADDRESS(MIN(IF(Summary!D19:E20=K18,ROW(Summary!D19:E20))), MIN(IF(Summary!D19:E20=K18,COLUMN(Summary!D19:E20))), 4)</f>
        <v>Summary!D19</v>
      </c>
      <c r="Q18" s="78" t="str">
        <f t="array" ref="Q18">"Summary!" &amp; ADDRESS(MIN(IF(Summary!D19:E20=N18,ROW(Summary!D19:E20))), MIN(IF(Summary!D19:E20=N18,COLUMN(Summary!D19:E20))), 4)</f>
        <v>Summary!D19</v>
      </c>
      <c r="T18" s="79">
        <f>MAX(Summary!D19:E19)</f>
        <v>0</v>
      </c>
      <c r="U18" s="79" t="b">
        <f>IF(T18=T19,  TRUE, FALSE)</f>
        <v>1</v>
      </c>
      <c r="V18" s="79" t="b">
        <f>IF(U18=TRUE, FALSE, MAX(Summary!D19:E20))</f>
        <v>0</v>
      </c>
      <c r="W18" s="76" t="b">
        <f t="array" ref="W18">IF(V18=FALSE, FALSE, ADDRESS(MAX(IF(Summary!D19:E20=V18,ROW(Summary!D19:E20))), MAX(IF(Summary!D19:E20=V18,COLUMN(Summary!D19:E20))), 4))</f>
        <v>0</v>
      </c>
      <c r="X18" s="76" t="b">
        <f>IF(U18=TRUE, IF(Summary!E19=Summary!D19, TRUE, FALSE),FALSE)</f>
        <v>1</v>
      </c>
      <c r="Y18" s="76" t="str">
        <f>IF(X18=TRUE, "Desktop")</f>
        <v>Desktop</v>
      </c>
      <c r="Z18" s="76">
        <f>IF(AND(Y18="Desktop", U18=TRUE), T18, FALSE)</f>
        <v>0</v>
      </c>
      <c r="AA18" s="76" t="str">
        <f>IF(NOT(Z18=FALSE), Y18, IF(NOT(Z19=FALSE),Y19, FALSE))</f>
        <v>Desktop</v>
      </c>
      <c r="AB18" s="76">
        <f>IF(NOT(Z18=FALSE), Z18, IF(NOT(Z19=FALSE), Z19, V18))</f>
        <v>0</v>
      </c>
      <c r="AC18" s="58"/>
      <c r="AD18" s="58"/>
      <c r="AE18" s="58"/>
      <c r="AF18" s="79">
        <f>MIN(Summary!D19:E19)</f>
        <v>0</v>
      </c>
      <c r="AG18" s="79" t="b">
        <f>IF(AF18=AF19,  TRUE, FALSE)</f>
        <v>1</v>
      </c>
      <c r="AH18" s="79" t="b">
        <f>IF(AG18=TRUE, FALSE, MIN(Summary!D19:E20))</f>
        <v>0</v>
      </c>
      <c r="AI18" s="76" t="b">
        <f t="array" ref="AI18">IF(AH18=FALSE, FALSE, ADDRESS(MIN(IF(Summary!D19:E20=AH18,ROW(Summary!D19:E20))), MIN(IF(Summary!D19:E20=AH18,COLUMN(Summary!D19:E20))), 4))</f>
        <v>0</v>
      </c>
      <c r="AJ18" s="76" t="b">
        <f>IF(AG18=TRUE, IF(Summary!D19=Summary!E19, TRUE, FALSE),FALSE)</f>
        <v>1</v>
      </c>
      <c r="AK18" s="76" t="str">
        <f>IF(AJ18=TRUE, "Desktop")</f>
        <v>Desktop</v>
      </c>
      <c r="AL18" s="76">
        <f>IF(AND(AK18="Desktop", AG18=TRUE), AF18, FALSE)</f>
        <v>0</v>
      </c>
      <c r="AM18" s="76" t="str">
        <f>IF(NOT(AL18=FALSE), AK18, IF(NOT(AL19=FALSE),AK19, FALSE))</f>
        <v>Desktop</v>
      </c>
      <c r="AN18" s="76">
        <f>IF(NOT(AL18=FALSE), AL18, IF(NOT(AL19=FALSE), AL19, AH18))</f>
        <v>0</v>
      </c>
    </row>
    <row r="19" spans="9:40" x14ac:dyDescent="0.25">
      <c r="I19" s="74" t="s">
        <v>84</v>
      </c>
      <c r="J19" s="72" t="str">
        <f>IF(J18="Desktop",IF(Summary!D19=Summary!E19,"with and without cache",(IF(Summary!D19&gt;Summary!E19,"with cache","without cache"))),IF(Summary!D20=Summary!E20,"with and without cache",(IF(Summary!D20&gt;Summary!E20,"with cache","without cache"))))</f>
        <v>with and without cache</v>
      </c>
      <c r="L19" s="72"/>
      <c r="M19" s="80" t="str">
        <f>IF(M18="Desktop",IF(Summary!D19=Summary!E19,"with and without cache",IF(Summary!D19&lt;Summary!E19,"with cache","without cache")),IF(Summary!D20=Summary!E20,"with and without cache",IF(Summary!D20&lt;Summary!E20,"with cache","without cache")))</f>
        <v>with and without cache</v>
      </c>
      <c r="N19" s="72"/>
      <c r="P19" s="78"/>
      <c r="Q19" s="78"/>
      <c r="T19" s="79">
        <f>MAX(Summary!D20:E20)</f>
        <v>0</v>
      </c>
      <c r="U19" s="79" t="b">
        <f>IF(T18=T19,  TRUE, FALSE)</f>
        <v>1</v>
      </c>
      <c r="V19" s="79" t="b">
        <f>IF(U19=TRUE, FALSE, MAX(Summary!D20:E21))</f>
        <v>0</v>
      </c>
      <c r="W19" s="76" t="b">
        <f t="array" ref="W19">IF(V19=FALSE, FALSE, ADDRESS(MAX(IF(Summary!D20:E21=V19,ROW(Summary!D20:E21))), MAX(IF(Summary!D20:E21=V19,COLUMN(Summary!D20:E21))), 4))</f>
        <v>0</v>
      </c>
      <c r="X19" s="76" t="b">
        <f>IF(U19=TRUE, IF(Summary!E20=Summary!D20, TRUE, FALSE),FALSE)</f>
        <v>1</v>
      </c>
      <c r="Y19" s="76" t="str">
        <f>IF(X19=TRUE, "Mobile")</f>
        <v>Mobile</v>
      </c>
      <c r="Z19" s="76">
        <f>IF(AND(Y19="Mobile", U19=TRUE), T19, FALSE)</f>
        <v>0</v>
      </c>
      <c r="AA19" s="76"/>
      <c r="AB19" s="76"/>
      <c r="AC19" s="58"/>
      <c r="AD19" s="58"/>
      <c r="AE19" s="58"/>
      <c r="AF19" s="79">
        <f>MIN(Summary!D20:E20)</f>
        <v>0</v>
      </c>
      <c r="AG19" s="79" t="b">
        <f>IF(AF18=AF19,  TRUE, FALSE)</f>
        <v>1</v>
      </c>
      <c r="AH19" s="79" t="b">
        <f>IF(AG19=TRUE, FALSE, MIN(Summary!D20:E21))</f>
        <v>0</v>
      </c>
      <c r="AI19" s="76" t="b">
        <f t="array" ref="AI19">IF(AH19=FALSE, FALSE, ADDRESS(MIN(IF(Summary!D19:E20=AH19,ROW(Summary!D19:E20))), MIN(IF(Summary!D19:E20=AH19,COLUMN(Summary!D19:E20))), 4))</f>
        <v>0</v>
      </c>
      <c r="AJ19" s="76" t="b">
        <f>IF(AG19=TRUE, IF(Summary!D20=Summary!E20, TRUE, FALSE),FALSE)</f>
        <v>1</v>
      </c>
      <c r="AK19" s="76" t="str">
        <f>IF(AJ19=TRUE, "Mobile")</f>
        <v>Mobile</v>
      </c>
      <c r="AL19" s="76">
        <f>IF(AND(AK19="Mobile", AG19=TRUE), AF19, FALSE)</f>
        <v>0</v>
      </c>
      <c r="AM19" s="76"/>
      <c r="AN19" s="76"/>
    </row>
    <row r="20" spans="14:40" x14ac:dyDescent="0.25">
      <c r="N20" s="78"/>
      <c r="O20" s="78"/>
      <c r="P20" s="78"/>
      <c r="Q20" s="78"/>
      <c r="T20" s="58"/>
      <c r="U20" s="58"/>
      <c r="V20" s="58"/>
      <c r="W20" s="58"/>
      <c r="X20" s="58"/>
      <c r="Y20" s="58"/>
      <c r="Z20" s="58"/>
      <c r="AA20" s="58"/>
      <c r="AB20" s="58"/>
      <c r="AC20" s="58"/>
      <c r="AD20" s="58"/>
      <c r="AE20" s="58"/>
      <c r="AF20" s="58"/>
      <c r="AG20" s="58"/>
      <c r="AH20" s="58"/>
      <c r="AI20" s="58"/>
      <c r="AJ20" s="58"/>
      <c r="AK20" s="58"/>
      <c r="AL20" s="58"/>
      <c r="AM20" s="58"/>
      <c r="AN20" s="58"/>
    </row>
    <row r="21" spans="9:40" x14ac:dyDescent="0.25">
      <c r="I21" s="72" t="str">
        <f>Summary!B23</f>
        <v>05_Careers</v>
      </c>
      <c r="J21" s="73" t="s">
        <v>64</v>
      </c>
      <c r="K21" s="74" t="s">
        <v>65</v>
      </c>
      <c r="L21" t="s">
        <v>66</v>
      </c>
      <c r="M21" s="75" t="s">
        <v>67</v>
      </c>
      <c r="N21" s="74" t="s">
        <v>65</v>
      </c>
      <c r="O21" t="s">
        <v>66</v>
      </c>
      <c r="P21" t="s">
        <v>68</v>
      </c>
      <c r="Q21" t="s">
        <v>69</v>
      </c>
      <c r="T21" s="76" t="s">
        <v>70</v>
      </c>
      <c r="U21" s="76" t="s">
        <v>71</v>
      </c>
      <c r="V21" s="76" t="s">
        <v>72</v>
      </c>
      <c r="W21" s="76" t="s">
        <v>73</v>
      </c>
      <c r="X21" s="76" t="s">
        <v>74</v>
      </c>
      <c r="Y21" s="76" t="s">
        <v>75</v>
      </c>
      <c r="Z21" s="76" t="s">
        <v>76</v>
      </c>
      <c r="AA21" s="76" t="s">
        <v>77</v>
      </c>
      <c r="AB21" s="76" t="s">
        <v>78</v>
      </c>
      <c r="AC21" s="58"/>
      <c r="AD21" s="58"/>
      <c r="AE21" s="58"/>
      <c r="AF21" s="76" t="s">
        <v>79</v>
      </c>
      <c r="AG21" s="76" t="s">
        <v>71</v>
      </c>
      <c r="AH21" s="76" t="s">
        <v>80</v>
      </c>
      <c r="AI21" s="76" t="s">
        <v>73</v>
      </c>
      <c r="AJ21" s="76" t="s">
        <v>74</v>
      </c>
      <c r="AK21" s="76" t="s">
        <v>75</v>
      </c>
      <c r="AL21" s="76" t="s">
        <v>81</v>
      </c>
      <c r="AM21" s="76" t="s">
        <v>77</v>
      </c>
      <c r="AN21" s="76" t="s">
        <v>82</v>
      </c>
    </row>
    <row r="22" spans="9:40" x14ac:dyDescent="0.25">
      <c r="I22" s="74" t="s">
        <v>83</v>
      </c>
      <c r="J22" s="72" t="str">
        <f t="array" ref="J22">IF(L22="Desktop", "Desktop", IF(L22="Mobile", "Mobile", INDIRECT(L22)))</f>
        <v>Desktop</v>
      </c>
      <c r="K22" s="77">
        <f>IF(AND(U22=TRUE, AB22=TRUE), AB22, MAX(Summary!D23:'Summary'!E24))</f>
        <v>0</v>
      </c>
      <c r="L22" s="58" t="str">
        <f>IF(NOT(AA22=FALSE), AA22,
    IF(LEFT(MID(P22,FIND("!",P22)+1,LEN(P22)),1)="D",
        LEFT(P22,FIND("!",P22)) &amp; CHAR(CODE(LEFT(MID(P22,FIND("!",P22)+1,LEN(P22)),1))-1) &amp; MID(P22,FIND("!",P22)+2,LEN(P22)),
        LEFT(P22,FIND("!",P22)) &amp; CHAR(CODE(LEFT(MID(P22,FIND("!",P22)+1,LEN(P22)),1))-2) &amp; MID(P22,FIND("!",P22)+2,LEN(P22))))</f>
        <v>Desktop</v>
      </c>
      <c r="M22" s="72" t="str">
        <f t="array" ref="M22">IF(O22="Desktop", "Desktop", IF(O22="Mobile", "Mobile", INDIRECT(O22)))</f>
        <v>Desktop</v>
      </c>
      <c r="N22" s="77">
        <f>IF(AND(AG22=TRUE, AN22=TRUE), AN22, MIN(Summary!D23:'Summary'!E24))</f>
        <v>0</v>
      </c>
      <c r="O22" s="58" t="str">
        <f>IF(NOT(AM22=FALSE), AM22,
    IF(LEFT(MID(Q22,FIND("!",Q22)+1,LEN(Q22)),1)="D",
        LEFT(Q22,FIND("!",Q22)) &amp; CHAR(CODE(LEFT(MID(Q22,FIND("!",Q22)+1,LEN(Q22)),1))-1) &amp; MID(Q22,FIND("!",Q22)+2,LEN(Q22)),
        LEFT(Q22,FIND("!",Q22)) &amp; CHAR(CODE(LEFT(MID(Q22,FIND("!",Q22)+1,LEN(Q22)),1))-2) &amp; MID(Q22,FIND("!",Q22)+2,LEN(Q22))))</f>
        <v>Desktop</v>
      </c>
      <c r="P22" s="78" t="str">
        <f t="array" ref="P22">"Summary!" &amp; ADDRESS(MIN(IF(Summary!D23:E24=K22,ROW(Summary!D23:E24))), MIN(IF(Summary!D23:E24=K22,COLUMN(Summary!D23:E24))), 4)</f>
        <v>Summary!D23</v>
      </c>
      <c r="Q22" s="78" t="str">
        <f t="array" ref="Q22">"Summary!" &amp; ADDRESS(MIN(IF(Summary!D23:E24=N22,ROW(Summary!D23:E24))), MIN(IF(Summary!D23:E24=N22,COLUMN(Summary!D23:E24))), 4)</f>
        <v>Summary!D23</v>
      </c>
      <c r="T22" s="79">
        <f>MAX(Summary!D23:E23)</f>
        <v>0</v>
      </c>
      <c r="U22" s="79" t="b">
        <f>IF(T22=T23,  TRUE, FALSE)</f>
        <v>1</v>
      </c>
      <c r="V22" s="79" t="b">
        <f>IF(U22=TRUE, FALSE, MAX(Summary!D23:E24))</f>
        <v>0</v>
      </c>
      <c r="W22" s="76" t="b">
        <f t="array" ref="W22">IF(V22=FALSE, FALSE, ADDRESS(MAX(IF(Summary!D23:E24=V22,ROW(Summary!D23:E24))), MAX(IF(Summary!D23:E24=V22,COLUMN(Summary!D23:E24))), 4))</f>
        <v>0</v>
      </c>
      <c r="X22" s="76" t="b">
        <f>IF(U22=TRUE, IF(Summary!E23=Summary!D23, TRUE, FALSE),FALSE)</f>
        <v>1</v>
      </c>
      <c r="Y22" s="76" t="str">
        <f>IF(X22=TRUE, "Desktop")</f>
        <v>Desktop</v>
      </c>
      <c r="Z22" s="76">
        <f>IF(AND(Y22="Desktop", U22=TRUE), T22, FALSE)</f>
        <v>0</v>
      </c>
      <c r="AA22" s="76" t="str">
        <f>IF(NOT(Z22=FALSE), Y22, IF(NOT(Z23=FALSE),Y23, FALSE))</f>
        <v>Desktop</v>
      </c>
      <c r="AB22" s="76">
        <f>IF(NOT(Z22=FALSE), Z22, IF(NOT(Z23=FALSE), Z23, V22))</f>
        <v>0</v>
      </c>
      <c r="AC22" s="58"/>
      <c r="AD22" s="58"/>
      <c r="AE22" s="58"/>
      <c r="AF22" s="79">
        <f>MIN(Summary!D23:E23)</f>
        <v>0</v>
      </c>
      <c r="AG22" s="79" t="b">
        <f>IF(AF22=AF23,  TRUE, FALSE)</f>
        <v>1</v>
      </c>
      <c r="AH22" s="79" t="b">
        <f>IF(AG22=TRUE, FALSE, MIN(Summary!D23:E24))</f>
        <v>0</v>
      </c>
      <c r="AI22" s="76" t="b">
        <f t="array" ref="AI22">IF(AH22=FALSE, FALSE, ADDRESS(MIN(IF(Summary!D23:E24=AH22,ROW(Summary!D23:E24))), MIN(IF(Summary!D23:E24=AH22,COLUMN(Summary!D23:E24))), 4))</f>
        <v>0</v>
      </c>
      <c r="AJ22" s="76" t="b">
        <f>IF(AG22=TRUE, IF(Summary!D23=Summary!E23, TRUE, FALSE),FALSE)</f>
        <v>1</v>
      </c>
      <c r="AK22" s="76" t="str">
        <f>IF(AJ22=TRUE, "Desktop")</f>
        <v>Desktop</v>
      </c>
      <c r="AL22" s="76">
        <f>IF(AND(AK22="Desktop", AG22=TRUE), AF22, FALSE)</f>
        <v>0</v>
      </c>
      <c r="AM22" s="76" t="str">
        <f>IF(NOT(AL22=FALSE), AK22, IF(NOT(AL23=FALSE),AK23, FALSE))</f>
        <v>Desktop</v>
      </c>
      <c r="AN22" s="76">
        <f>IF(NOT(AL22=FALSE), AL22, IF(NOT(AL23=FALSE), AL23, AH22))</f>
        <v>0</v>
      </c>
    </row>
    <row r="23" spans="9:40" x14ac:dyDescent="0.25">
      <c r="I23" s="74" t="s">
        <v>84</v>
      </c>
      <c r="J23" s="72" t="str">
        <f>IF(J22="Desktop",IF(Summary!D23=Summary!E23,"with and without cache",(IF(Summary!D23&gt;Summary!E23,"with cache","without cache"))),IF(Summary!D24=Summary!E24,"with and without cache",(IF(Summary!D24&gt;Summary!E24,"with cache","without cache"))))</f>
        <v>with and without cache</v>
      </c>
      <c r="L23" s="72"/>
      <c r="M23" s="80" t="str">
        <f>IF(M22="Desktop",IF(Summary!D23=Summary!E23,"with and without cache",IF(Summary!D23&lt;Summary!E23,"with cache","without cache")),IF(Summary!D24=Summary!E24,"with and without cache",IF(Summary!D24&lt;Summary!E24,"with cache","without cache")))</f>
        <v>with and without cache</v>
      </c>
      <c r="N23" s="72"/>
      <c r="P23" s="78"/>
      <c r="Q23" s="78"/>
      <c r="T23" s="79">
        <f>MAX(Summary!D24:E24)</f>
        <v>0</v>
      </c>
      <c r="U23" s="79" t="b">
        <f>IF(T22=T23,  TRUE, FALSE)</f>
        <v>1</v>
      </c>
      <c r="V23" s="79" t="b">
        <f>IF(U23=TRUE, FALSE, MAX(Summary!D24:E25))</f>
        <v>0</v>
      </c>
      <c r="W23" s="76" t="b">
        <f t="array" ref="W23">IF(V23=FALSE, FALSE, ADDRESS(MAX(IF(Summary!D24:E25=V23,ROW(Summary!D24:E25))), MAX(IF(Summary!D24:E25=V23,COLUMN(Summary!D24:E25))), 4))</f>
        <v>0</v>
      </c>
      <c r="X23" s="76" t="b">
        <f>IF(U23=TRUE, IF(Summary!E24=Summary!D24, TRUE, FALSE),FALSE)</f>
        <v>1</v>
      </c>
      <c r="Y23" s="76" t="str">
        <f>IF(X23=TRUE, "Mobile")</f>
        <v>Mobile</v>
      </c>
      <c r="Z23" s="76">
        <f>IF(AND(Y23="Mobile", U23=TRUE), T23, FALSE)</f>
        <v>0</v>
      </c>
      <c r="AA23" s="76"/>
      <c r="AB23" s="76"/>
      <c r="AC23" s="58"/>
      <c r="AD23" s="58"/>
      <c r="AE23" s="58"/>
      <c r="AF23" s="79">
        <f>MIN(Summary!D24:E24)</f>
        <v>0</v>
      </c>
      <c r="AG23" s="79" t="b">
        <f>IF(AF22=AF23,  TRUE, FALSE)</f>
        <v>1</v>
      </c>
      <c r="AH23" s="79" t="b">
        <f>IF(AG23=TRUE, FALSE, MIN(Summary!D24:E25))</f>
        <v>0</v>
      </c>
      <c r="AI23" s="76" t="b">
        <f t="array" ref="AI23">IF(AH23=FALSE, FALSE, ADDRESS(MIN(IF(Summary!D23:E24=AH23,ROW(Summary!D23:E24))), MIN(IF(Summary!D23:E24=AH23,COLUMN(Summary!D23:E24))), 4))</f>
        <v>0</v>
      </c>
      <c r="AJ23" s="76" t="b">
        <f>IF(AG23=TRUE, IF(Summary!D24=Summary!E24, TRUE, FALSE),FALSE)</f>
        <v>1</v>
      </c>
      <c r="AK23" s="76" t="str">
        <f>IF(AJ23=TRUE, "Mobile")</f>
        <v>Mobile</v>
      </c>
      <c r="AL23" s="76">
        <f>IF(AND(AK23="Mobile", AG23=TRUE), AF23, FALSE)</f>
        <v>0</v>
      </c>
      <c r="AM23" s="76"/>
      <c r="AN23" s="76"/>
    </row>
    <row r="24" spans="14:40" x14ac:dyDescent="0.25">
      <c r="N24" s="78"/>
      <c r="O24" s="78"/>
      <c r="P24" s="78"/>
      <c r="Q24" s="78"/>
      <c r="T24" s="58"/>
      <c r="U24" s="58"/>
      <c r="V24" s="58"/>
      <c r="W24" s="58"/>
      <c r="X24" s="58"/>
      <c r="Y24" s="58"/>
      <c r="Z24" s="58"/>
      <c r="AA24" s="58"/>
      <c r="AB24" s="58"/>
      <c r="AC24" s="58"/>
      <c r="AD24" s="58"/>
      <c r="AE24" s="58"/>
      <c r="AF24" s="58"/>
      <c r="AG24" s="58"/>
      <c r="AH24" s="58"/>
      <c r="AI24" s="58"/>
      <c r="AJ24" s="58"/>
      <c r="AK24" s="58"/>
      <c r="AL24" s="58"/>
      <c r="AM24" s="58"/>
      <c r="AN24" s="58"/>
    </row>
    <row r="25" spans="9:40" x14ac:dyDescent="0.25">
      <c r="I25" s="72" t="str">
        <f>Summary!B27</f>
        <v>06_Contact</v>
      </c>
      <c r="J25" s="73" t="s">
        <v>64</v>
      </c>
      <c r="K25" s="74" t="s">
        <v>65</v>
      </c>
      <c r="L25" t="s">
        <v>66</v>
      </c>
      <c r="M25" s="75" t="s">
        <v>67</v>
      </c>
      <c r="N25" s="74" t="s">
        <v>65</v>
      </c>
      <c r="O25" t="s">
        <v>66</v>
      </c>
      <c r="P25" t="s">
        <v>68</v>
      </c>
      <c r="Q25" t="s">
        <v>69</v>
      </c>
      <c r="T25" s="76" t="s">
        <v>70</v>
      </c>
      <c r="U25" s="76" t="s">
        <v>71</v>
      </c>
      <c r="V25" s="76" t="s">
        <v>72</v>
      </c>
      <c r="W25" s="76" t="s">
        <v>73</v>
      </c>
      <c r="X25" s="76" t="s">
        <v>74</v>
      </c>
      <c r="Y25" s="76" t="s">
        <v>75</v>
      </c>
      <c r="Z25" s="76" t="s">
        <v>76</v>
      </c>
      <c r="AA25" s="76" t="s">
        <v>77</v>
      </c>
      <c r="AB25" s="76" t="s">
        <v>78</v>
      </c>
      <c r="AC25" s="58"/>
      <c r="AD25" s="58"/>
      <c r="AE25" s="58"/>
      <c r="AF25" s="76" t="s">
        <v>79</v>
      </c>
      <c r="AG25" s="76" t="s">
        <v>71</v>
      </c>
      <c r="AH25" s="76" t="s">
        <v>80</v>
      </c>
      <c r="AI25" s="76" t="s">
        <v>73</v>
      </c>
      <c r="AJ25" s="76" t="s">
        <v>74</v>
      </c>
      <c r="AK25" s="76" t="s">
        <v>75</v>
      </c>
      <c r="AL25" s="76" t="s">
        <v>81</v>
      </c>
      <c r="AM25" s="76" t="s">
        <v>77</v>
      </c>
      <c r="AN25" s="76" t="s">
        <v>82</v>
      </c>
    </row>
    <row r="26" spans="9:40" x14ac:dyDescent="0.25">
      <c r="I26" s="74" t="s">
        <v>83</v>
      </c>
      <c r="J26" s="72" t="str">
        <f t="array" ref="J26">IF(L26="Desktop", "Desktop", IF(L26="Mobile", "Mobile", INDIRECT(L26)))</f>
        <v>Desktop</v>
      </c>
      <c r="K26" s="77">
        <f>IF(AND(U26=TRUE, AB26=TRUE), AB26, MAX(Summary!D27:'Summary'!E28))</f>
        <v>0</v>
      </c>
      <c r="L26" s="58" t="str">
        <f>IF(NOT(AA26=FALSE), AA26,
    IF(LEFT(MID(P26,FIND("!",P26)+1,LEN(P26)),1)="D",
        LEFT(P26,FIND("!",P26)) &amp; CHAR(CODE(LEFT(MID(P26,FIND("!",P26)+1,LEN(P26)),1))-1) &amp; MID(P26,FIND("!",P26)+2,LEN(P26)),
        LEFT(P26,FIND("!",P26)) &amp; CHAR(CODE(LEFT(MID(P26,FIND("!",P26)+1,LEN(P26)),1))-2) &amp; MID(P26,FIND("!",P26)+2,LEN(P26))))</f>
        <v>Desktop</v>
      </c>
      <c r="M26" s="72" t="str">
        <f t="array" ref="M26">IF(O26="Desktop", "Desktop", IF(O26="Mobile", "Mobile", INDIRECT(O26)))</f>
        <v>Desktop</v>
      </c>
      <c r="N26" s="77">
        <f>IF(AND(AG26=TRUE, AN26=TRUE), AN26, MIN(Summary!D27:'Summary'!E28))</f>
        <v>0</v>
      </c>
      <c r="O26" s="58" t="str">
        <f>IF(NOT(AM26=FALSE), AM26,
    IF(LEFT(MID(Q26,FIND("!",Q26)+1,LEN(Q26)),1)="D",
        LEFT(Q26,FIND("!",Q26)) &amp; CHAR(CODE(LEFT(MID(Q26,FIND("!",Q26)+1,LEN(Q26)),1))-1) &amp; MID(Q26,FIND("!",Q26)+2,LEN(Q26)),
        LEFT(Q26,FIND("!",Q26)) &amp; CHAR(CODE(LEFT(MID(Q26,FIND("!",Q26)+1,LEN(Q26)),1))-2) &amp; MID(Q26,FIND("!",Q26)+2,LEN(Q26))))</f>
        <v>Desktop</v>
      </c>
      <c r="P26" s="78" t="str">
        <f t="array" ref="P26">"Summary!" &amp; ADDRESS(MIN(IF(Summary!D27:E28=K26,ROW(Summary!D27:E28))), MIN(IF(Summary!D27:E28=K26,COLUMN(Summary!D27:E28))), 4)</f>
        <v>Summary!D27</v>
      </c>
      <c r="Q26" s="78" t="str">
        <f t="array" ref="Q26">"Summary!" &amp; ADDRESS(MIN(IF(Summary!D27:E28=N26,ROW(Summary!D27:E28))), MIN(IF(Summary!D27:E28=N26,COLUMN(Summary!D27:E28))), 4)</f>
        <v>Summary!D27</v>
      </c>
      <c r="T26" s="79">
        <f>MAX(Summary!D27:E27)</f>
        <v>0</v>
      </c>
      <c r="U26" s="79" t="b">
        <f>IF(T26=T27,  TRUE, FALSE)</f>
        <v>1</v>
      </c>
      <c r="V26" s="79" t="b">
        <f>IF(U26=TRUE, FALSE, MAX(Summary!D27:E28))</f>
        <v>0</v>
      </c>
      <c r="W26" s="76" t="b">
        <f t="array" ref="W26">IF(V26=FALSE, FALSE, ADDRESS(MAX(IF(Summary!D27:E28=V26,ROW(Summary!D27:E28))), MAX(IF(Summary!D27:E28=V26,COLUMN(Summary!D27:E28))), 4))</f>
        <v>0</v>
      </c>
      <c r="X26" s="76" t="b">
        <f>IF(U26=TRUE, IF(Summary!E27=Summary!D27, TRUE, FALSE),FALSE)</f>
        <v>1</v>
      </c>
      <c r="Y26" s="76" t="str">
        <f>IF(X26=TRUE, "Desktop")</f>
        <v>Desktop</v>
      </c>
      <c r="Z26" s="76">
        <f>IF(AND(Y26="Desktop", U26=TRUE), T26, FALSE)</f>
        <v>0</v>
      </c>
      <c r="AA26" s="76" t="str">
        <f>IF(NOT(Z26=FALSE), Y26, IF(NOT(Z27=FALSE),Y27, FALSE))</f>
        <v>Desktop</v>
      </c>
      <c r="AB26" s="76">
        <f>IF(NOT(Z26=FALSE), Z26, IF(NOT(Z27=FALSE), Z27, V26))</f>
        <v>0</v>
      </c>
      <c r="AC26" s="58"/>
      <c r="AD26" s="58"/>
      <c r="AE26" s="58"/>
      <c r="AF26" s="79">
        <f>MIN(Summary!D27:E27)</f>
        <v>0</v>
      </c>
      <c r="AG26" s="79" t="b">
        <f>IF(AF26=AF27,  TRUE, FALSE)</f>
        <v>1</v>
      </c>
      <c r="AH26" s="79" t="b">
        <f>IF(AG26=TRUE, FALSE, MIN(Summary!D27:E28))</f>
        <v>0</v>
      </c>
      <c r="AI26" s="76" t="b">
        <f t="array" ref="AI26">IF(AH26=FALSE, FALSE, ADDRESS(MIN(IF(Summary!D27:E28=AH26,ROW(Summary!D27:E28))), MIN(IF(Summary!D27:E28=AH26,COLUMN(Summary!D27:E28))), 4))</f>
        <v>0</v>
      </c>
      <c r="AJ26" s="76" t="b">
        <f>IF(AG26=TRUE, IF(Summary!D27=Summary!E27, TRUE, FALSE),FALSE)</f>
        <v>1</v>
      </c>
      <c r="AK26" s="76" t="str">
        <f>IF(AJ26=TRUE, "Desktop")</f>
        <v>Desktop</v>
      </c>
      <c r="AL26" s="76">
        <f>IF(AND(AK26="Desktop", AG26=TRUE), AF26, FALSE)</f>
        <v>0</v>
      </c>
      <c r="AM26" s="76" t="str">
        <f>IF(NOT(AL26=FALSE), AK26, IF(NOT(AL27=FALSE),AK27, FALSE))</f>
        <v>Desktop</v>
      </c>
      <c r="AN26" s="76">
        <f>IF(NOT(AL26=FALSE), AL26, IF(NOT(AL27=FALSE), AL27, AH26))</f>
        <v>0</v>
      </c>
    </row>
    <row r="27" spans="9:40" x14ac:dyDescent="0.25">
      <c r="I27" s="74" t="s">
        <v>84</v>
      </c>
      <c r="J27" s="72" t="str">
        <f>IF(J26="Desktop",IF(Summary!D27=Summary!E27,"with and without cache",(IF(Summary!D27&gt;Summary!E27,"with cache","without cache"))),IF(Summary!D28=Summary!E28,"with and without cache",(IF(Summary!D28&gt;Summary!E28,"with cache","without cache"))))</f>
        <v>with and without cache</v>
      </c>
      <c r="L27" s="72"/>
      <c r="M27" s="80" t="str">
        <f>IF(M26="Desktop",IF(Summary!D27=Summary!E27,"with and without cache",IF(Summary!D27&lt;Summary!E27,"with cache","without cache")),IF(Summary!D28=Summary!E28,"with and without cache",IF(Summary!D28&lt;Summary!E28,"with cache","without cache")))</f>
        <v>with and without cache</v>
      </c>
      <c r="N27" s="72"/>
      <c r="P27" s="78"/>
      <c r="Q27" s="78"/>
      <c r="T27" s="79">
        <f>MAX(Summary!D28:E28)</f>
        <v>0</v>
      </c>
      <c r="U27" s="79" t="b">
        <f>IF(T26=T27,  TRUE, FALSE)</f>
        <v>1</v>
      </c>
      <c r="V27" s="79" t="b">
        <f>IF(U27=TRUE, FALSE, MAX(Summary!D28:E29))</f>
        <v>0</v>
      </c>
      <c r="W27" s="76" t="b">
        <f t="array" ref="W27">IF(V27=FALSE, FALSE, ADDRESS(MAX(IF(Summary!D28:E29=V27,ROW(Summary!D28:E29))), MAX(IF(Summary!D28:E29=V27,COLUMN(Summary!D28:E29))), 4))</f>
        <v>0</v>
      </c>
      <c r="X27" s="76" t="b">
        <f>IF(U27=TRUE, IF(Summary!E28=Summary!D28, TRUE, FALSE),FALSE)</f>
        <v>1</v>
      </c>
      <c r="Y27" s="76" t="str">
        <f>IF(X27=TRUE, "Mobile")</f>
        <v>Mobile</v>
      </c>
      <c r="Z27" s="76">
        <f>IF(AND(Y27="Mobile", U27=TRUE), T27, FALSE)</f>
        <v>0</v>
      </c>
      <c r="AA27" s="76"/>
      <c r="AB27" s="76"/>
      <c r="AC27" s="58"/>
      <c r="AD27" s="58"/>
      <c r="AE27" s="58"/>
      <c r="AF27" s="79">
        <f>MIN(Summary!D28:E28)</f>
        <v>0</v>
      </c>
      <c r="AG27" s="79" t="b">
        <f>IF(AF26=AF27,  TRUE, FALSE)</f>
        <v>1</v>
      </c>
      <c r="AH27" s="79" t="b">
        <f>IF(AG27=TRUE, FALSE, MIN(Summary!D28:E29))</f>
        <v>0</v>
      </c>
      <c r="AI27" s="76" t="b">
        <f t="array" ref="AI27">IF(AH27=FALSE, FALSE, ADDRESS(MIN(IF(Summary!D27:E28=AH27,ROW(Summary!D27:E28))), MIN(IF(Summary!D27:E28=AH27,COLUMN(Summary!D27:E28))), 4))</f>
        <v>0</v>
      </c>
      <c r="AJ27" s="76" t="b">
        <f>IF(AG27=TRUE, IF(Summary!D28=Summary!E28, TRUE, FALSE),FALSE)</f>
        <v>1</v>
      </c>
      <c r="AK27" s="76" t="str">
        <f>IF(AJ27=TRUE, "Mobile")</f>
        <v>Mobile</v>
      </c>
      <c r="AL27" s="76">
        <f>IF(AND(AK27="Mobile", AG27=TRUE), AF27, FALSE)</f>
        <v>0</v>
      </c>
      <c r="AM27" s="76"/>
      <c r="AN27" s="76"/>
    </row>
    <row r="28" spans="14:40" x14ac:dyDescent="0.25">
      <c r="N28" s="78"/>
      <c r="O28" s="78"/>
      <c r="P28" s="78"/>
      <c r="Q28" s="78"/>
      <c r="T28" s="58"/>
      <c r="U28" s="58"/>
      <c r="V28" s="58"/>
      <c r="W28" s="58"/>
      <c r="X28" s="58"/>
      <c r="Y28" s="58"/>
      <c r="Z28" s="58"/>
      <c r="AA28" s="58"/>
      <c r="AB28" s="58"/>
      <c r="AC28" s="58"/>
      <c r="AD28" s="58"/>
      <c r="AE28" s="58"/>
      <c r="AF28" s="58"/>
      <c r="AG28" s="58"/>
      <c r="AH28" s="58"/>
      <c r="AI28" s="58"/>
      <c r="AJ28" s="58"/>
      <c r="AK28" s="58"/>
      <c r="AL28" s="58"/>
      <c r="AM28" s="58"/>
      <c r="AN28" s="58"/>
    </row>
    <row r="29" spans="9:40" x14ac:dyDescent="0.25">
      <c r="I29" s="72" t="str">
        <f>Summary!B31</f>
        <v>07_Privacy</v>
      </c>
      <c r="J29" s="73" t="s">
        <v>64</v>
      </c>
      <c r="K29" s="74" t="s">
        <v>65</v>
      </c>
      <c r="L29" t="s">
        <v>66</v>
      </c>
      <c r="M29" s="75" t="s">
        <v>67</v>
      </c>
      <c r="N29" s="74" t="s">
        <v>65</v>
      </c>
      <c r="O29" t="s">
        <v>66</v>
      </c>
      <c r="P29" t="s">
        <v>68</v>
      </c>
      <c r="Q29" t="s">
        <v>69</v>
      </c>
      <c r="T29" s="76" t="s">
        <v>70</v>
      </c>
      <c r="U29" s="76" t="s">
        <v>71</v>
      </c>
      <c r="V29" s="76" t="s">
        <v>72</v>
      </c>
      <c r="W29" s="76" t="s">
        <v>73</v>
      </c>
      <c r="X29" s="76" t="s">
        <v>74</v>
      </c>
      <c r="Y29" s="76" t="s">
        <v>75</v>
      </c>
      <c r="Z29" s="76" t="s">
        <v>76</v>
      </c>
      <c r="AA29" s="76" t="s">
        <v>77</v>
      </c>
      <c r="AB29" s="76" t="s">
        <v>78</v>
      </c>
      <c r="AC29" s="58"/>
      <c r="AD29" s="58"/>
      <c r="AE29" s="58"/>
      <c r="AF29" s="76" t="s">
        <v>79</v>
      </c>
      <c r="AG29" s="76" t="s">
        <v>71</v>
      </c>
      <c r="AH29" s="76" t="s">
        <v>80</v>
      </c>
      <c r="AI29" s="76" t="s">
        <v>73</v>
      </c>
      <c r="AJ29" s="76" t="s">
        <v>74</v>
      </c>
      <c r="AK29" s="76" t="s">
        <v>75</v>
      </c>
      <c r="AL29" s="76" t="s">
        <v>81</v>
      </c>
      <c r="AM29" s="76" t="s">
        <v>77</v>
      </c>
      <c r="AN29" s="76" t="s">
        <v>82</v>
      </c>
    </row>
    <row r="30" spans="9:40" x14ac:dyDescent="0.25">
      <c r="I30" s="74" t="s">
        <v>83</v>
      </c>
      <c r="J30" s="72" t="str">
        <f t="array" ref="J30">IF(L30="Desktop", "Desktop", IF(L30="Mobile", "Mobile", INDIRECT(L30)))</f>
        <v>Desktop</v>
      </c>
      <c r="K30" s="77">
        <f>IF(AND(U30=TRUE, AB30=TRUE), AB30, MAX(Summary!D31:'Summary'!E32))</f>
        <v>0</v>
      </c>
      <c r="L30" s="58" t="str">
        <f>IF(NOT(AA30=FALSE), AA30,
    IF(LEFT(MID(P30,FIND("!",P30)+1,LEN(P30)),1)="D",
        LEFT(P30,FIND("!",P30)) &amp; CHAR(CODE(LEFT(MID(P30,FIND("!",P30)+1,LEN(P30)),1))-1) &amp; MID(P30,FIND("!",P30)+2,LEN(P30)),
        LEFT(P30,FIND("!",P30)) &amp; CHAR(CODE(LEFT(MID(P30,FIND("!",P30)+1,LEN(P30)),1))-2) &amp; MID(P30,FIND("!",P30)+2,LEN(P30))))</f>
        <v>Desktop</v>
      </c>
      <c r="M30" s="72" t="str">
        <f t="array" ref="M30">IF(O30="Desktop", "Desktop", IF(O30="Mobile", "Mobile", INDIRECT(O30)))</f>
        <v>Desktop</v>
      </c>
      <c r="N30" s="77">
        <f>IF(AND(AG30=TRUE, AN30=TRUE), AN30, MIN(Summary!D31:'Summary'!E32))</f>
        <v>0</v>
      </c>
      <c r="O30" s="58" t="str">
        <f>IF(NOT(AM30=FALSE), AM30,
    IF(LEFT(MID(Q30,FIND("!",Q30)+1,LEN(Q30)),1)="D",
        LEFT(Q30,FIND("!",Q30)) &amp; CHAR(CODE(LEFT(MID(Q30,FIND("!",Q30)+1,LEN(Q30)),1))-1) &amp; MID(Q30,FIND("!",Q30)+2,LEN(Q30)),
        LEFT(Q30,FIND("!",Q30)) &amp; CHAR(CODE(LEFT(MID(Q30,FIND("!",Q30)+1,LEN(Q30)),1))-2) &amp; MID(Q30,FIND("!",Q30)+2,LEN(Q30))))</f>
        <v>Desktop</v>
      </c>
      <c r="P30" s="78" t="str">
        <f t="array" ref="P30">"Summary!" &amp; ADDRESS(MIN(IF(Summary!D31:E32=K30,ROW(Summary!D31:E32))), MIN(IF(Summary!D31:E32=K30,COLUMN(Summary!D31:E32))), 4)</f>
        <v>Summary!D31</v>
      </c>
      <c r="Q30" s="78" t="str">
        <f t="array" ref="Q30">"Summary!" &amp; ADDRESS(MIN(IF(Summary!D31:E32=N30,ROW(Summary!D31:E32))), MIN(IF(Summary!D31:E32=N30,COLUMN(Summary!D31:E32))), 4)</f>
        <v>Summary!D31</v>
      </c>
      <c r="T30" s="79">
        <f>MAX(Summary!D31:E31)</f>
        <v>0</v>
      </c>
      <c r="U30" s="79" t="b">
        <f>IF(T30=T31,  TRUE, FALSE)</f>
        <v>1</v>
      </c>
      <c r="V30" s="79" t="b">
        <f>IF(U30=TRUE, FALSE, MAX(Summary!D31:E32))</f>
        <v>0</v>
      </c>
      <c r="W30" s="76" t="b">
        <f t="array" ref="W30">IF(V30=FALSE, FALSE, ADDRESS(MAX(IF(Summary!D31:E32=V30,ROW(Summary!D31:E32))), MAX(IF(Summary!D31:E32=V30,COLUMN(Summary!D31:E32))), 4))</f>
        <v>0</v>
      </c>
      <c r="X30" s="76" t="b">
        <f>IF(U30=TRUE, IF(Summary!E31=Summary!D31, TRUE, FALSE),FALSE)</f>
        <v>1</v>
      </c>
      <c r="Y30" s="76" t="str">
        <f>IF(X30=TRUE, "Desktop")</f>
        <v>Desktop</v>
      </c>
      <c r="Z30" s="76">
        <f>IF(AND(Y30="Desktop", U30=TRUE), T30, FALSE)</f>
        <v>0</v>
      </c>
      <c r="AA30" s="76" t="str">
        <f>IF(NOT(Z30=FALSE), Y30, IF(NOT(Z31=FALSE),Y31, FALSE))</f>
        <v>Desktop</v>
      </c>
      <c r="AB30" s="76">
        <f>IF(NOT(Z30=FALSE), Z30, IF(NOT(Z31=FALSE), Z31, V30))</f>
        <v>0</v>
      </c>
      <c r="AC30" s="58"/>
      <c r="AD30" s="58"/>
      <c r="AE30" s="58"/>
      <c r="AF30" s="79">
        <f>MIN(Summary!D31:E31)</f>
        <v>0</v>
      </c>
      <c r="AG30" s="79" t="b">
        <f>IF(AF30=AF31,  TRUE, FALSE)</f>
        <v>1</v>
      </c>
      <c r="AH30" s="79" t="b">
        <f>IF(AG30=TRUE, FALSE, MIN(Summary!D31:E32))</f>
        <v>0</v>
      </c>
      <c r="AI30" s="76" t="b">
        <f t="array" ref="AI30">IF(AH30=FALSE, FALSE, ADDRESS(MIN(IF(Summary!D31:E32=AH30,ROW(Summary!D31:E32))), MIN(IF(Summary!D31:E32=AH30,COLUMN(Summary!D31:E32))), 4))</f>
        <v>0</v>
      </c>
      <c r="AJ30" s="76" t="b">
        <f>IF(AG30=TRUE, IF(Summary!D31=Summary!E31, TRUE, FALSE),FALSE)</f>
        <v>1</v>
      </c>
      <c r="AK30" s="76" t="str">
        <f>IF(AJ30=TRUE, "Desktop")</f>
        <v>Desktop</v>
      </c>
      <c r="AL30" s="76">
        <f>IF(AND(AK30="Desktop", AG30=TRUE), AF30, FALSE)</f>
        <v>0</v>
      </c>
      <c r="AM30" s="76" t="str">
        <f>IF(NOT(AL30=FALSE), AK30, IF(NOT(AL31=FALSE),AK31, FALSE))</f>
        <v>Desktop</v>
      </c>
      <c r="AN30" s="76">
        <f>IF(NOT(AL30=FALSE), AL30, IF(NOT(AL31=FALSE), AL31, AH30))</f>
        <v>0</v>
      </c>
    </row>
    <row r="31" spans="9:40" x14ac:dyDescent="0.25">
      <c r="I31" s="74" t="s">
        <v>84</v>
      </c>
      <c r="J31" s="72" t="str">
        <f>IF(J30="Desktop",IF(Summary!D31=Summary!E31,"with and without cache",(IF(Summary!D31&gt;Summary!E31,"with cache","without cache"))),IF(Summary!D32=Summary!E32,"with and without cache",(IF(Summary!D32&gt;Summary!E32,"with cache","without cache"))))</f>
        <v>with and without cache</v>
      </c>
      <c r="L31" s="72"/>
      <c r="M31" s="80" t="str">
        <f>IF(M30="Desktop",IF(Summary!D31=Summary!E31,"with and without cache",IF(Summary!D31&lt;Summary!E31,"with cache","without cache")),IF(Summary!D32=Summary!E32,"with and without cache",IF(Summary!D32&lt;Summary!E32,"with cache","without cache")))</f>
        <v>with and without cache</v>
      </c>
      <c r="N31" s="72"/>
      <c r="P31" s="78"/>
      <c r="Q31" s="78"/>
      <c r="T31" s="79">
        <f>MAX(Summary!D32:E32)</f>
        <v>0</v>
      </c>
      <c r="U31" s="79" t="b">
        <f>IF(T30=T31,  TRUE, FALSE)</f>
        <v>1</v>
      </c>
      <c r="V31" s="79" t="b">
        <f>IF(U31=TRUE, FALSE, MAX(Summary!D32:E33))</f>
        <v>0</v>
      </c>
      <c r="W31" s="76" t="b">
        <f t="array" ref="W31">IF(V31=FALSE, FALSE, ADDRESS(MAX(IF(Summary!D32:E33=V31,ROW(Summary!D32:E33))), MAX(IF(Summary!D32:E33=V31,COLUMN(Summary!D32:E33))), 4))</f>
        <v>0</v>
      </c>
      <c r="X31" s="76" t="b">
        <f>IF(U31=TRUE, IF(Summary!E32=Summary!D32, TRUE, FALSE),FALSE)</f>
        <v>1</v>
      </c>
      <c r="Y31" s="76" t="str">
        <f>IF(X31=TRUE, "Mobile")</f>
        <v>Mobile</v>
      </c>
      <c r="Z31" s="76">
        <f>IF(AND(Y31="Mobile", U31=TRUE), T31, FALSE)</f>
        <v>0</v>
      </c>
      <c r="AA31" s="76"/>
      <c r="AB31" s="76"/>
      <c r="AC31" s="58"/>
      <c r="AD31" s="58"/>
      <c r="AE31" s="58"/>
      <c r="AF31" s="79">
        <f>MIN(Summary!D32:E32)</f>
        <v>0</v>
      </c>
      <c r="AG31" s="79" t="b">
        <f>IF(AF30=AF31,  TRUE, FALSE)</f>
        <v>1</v>
      </c>
      <c r="AH31" s="79" t="b">
        <f>IF(AG31=TRUE, FALSE, MIN(Summary!D32:E33))</f>
        <v>0</v>
      </c>
      <c r="AI31" s="76" t="b">
        <f t="array" ref="AI31">IF(AH31=FALSE, FALSE, ADDRESS(MIN(IF(Summary!D31:E32=AH31,ROW(Summary!D31:E32))), MIN(IF(Summary!D31:E32=AH31,COLUMN(Summary!D31:E32))), 4))</f>
        <v>0</v>
      </c>
      <c r="AJ31" s="76" t="b">
        <f>IF(AG31=TRUE, IF(Summary!D32=Summary!E32, TRUE, FALSE),FALSE)</f>
        <v>1</v>
      </c>
      <c r="AK31" s="76" t="str">
        <f>IF(AJ31=TRUE, "Mobile")</f>
        <v>Mobile</v>
      </c>
      <c r="AL31" s="76">
        <f>IF(AND(AK31="Mobile", AG31=TRUE), AF31, FALSE)</f>
        <v>0</v>
      </c>
      <c r="AM31" s="76"/>
      <c r="AN31" s="76"/>
    </row>
    <row r="32" spans="14:40" x14ac:dyDescent="0.25">
      <c r="N32" s="78"/>
      <c r="O32" s="78"/>
      <c r="P32" s="78"/>
      <c r="Q32" s="78"/>
      <c r="T32" s="58"/>
      <c r="U32" s="58"/>
      <c r="V32" s="58"/>
      <c r="W32" s="58"/>
      <c r="X32" s="58"/>
      <c r="Y32" s="58"/>
      <c r="Z32" s="58"/>
      <c r="AA32" s="58"/>
      <c r="AB32" s="58"/>
      <c r="AC32" s="58"/>
      <c r="AD32" s="58"/>
      <c r="AE32" s="58"/>
      <c r="AF32" s="58"/>
      <c r="AG32" s="58"/>
      <c r="AH32" s="58"/>
      <c r="AI32" s="58"/>
      <c r="AJ32" s="58"/>
      <c r="AK32" s="58"/>
      <c r="AL32" s="58"/>
      <c r="AM32" s="58"/>
      <c r="AN32" s="58"/>
    </row>
    <row r="33" spans="9:40" x14ac:dyDescent="0.25">
      <c r="I33" s="72" t="str">
        <f>Summary!B35</f>
        <v>08_Game Testing</v>
      </c>
      <c r="J33" s="73" t="s">
        <v>64</v>
      </c>
      <c r="K33" s="74" t="s">
        <v>65</v>
      </c>
      <c r="L33" t="s">
        <v>66</v>
      </c>
      <c r="M33" s="75" t="s">
        <v>67</v>
      </c>
      <c r="N33" s="74" t="s">
        <v>65</v>
      </c>
      <c r="O33" t="s">
        <v>66</v>
      </c>
      <c r="P33" t="s">
        <v>68</v>
      </c>
      <c r="Q33" t="s">
        <v>69</v>
      </c>
      <c r="T33" s="76" t="s">
        <v>70</v>
      </c>
      <c r="U33" s="76" t="s">
        <v>71</v>
      </c>
      <c r="V33" s="76" t="s">
        <v>72</v>
      </c>
      <c r="W33" s="76" t="s">
        <v>73</v>
      </c>
      <c r="X33" s="76" t="s">
        <v>74</v>
      </c>
      <c r="Y33" s="76" t="s">
        <v>75</v>
      </c>
      <c r="Z33" s="76" t="s">
        <v>76</v>
      </c>
      <c r="AA33" s="76" t="s">
        <v>77</v>
      </c>
      <c r="AB33" s="76" t="s">
        <v>78</v>
      </c>
      <c r="AC33" s="58"/>
      <c r="AD33" s="58"/>
      <c r="AE33" s="58"/>
      <c r="AF33" s="76" t="s">
        <v>79</v>
      </c>
      <c r="AG33" s="76" t="s">
        <v>71</v>
      </c>
      <c r="AH33" s="76" t="s">
        <v>80</v>
      </c>
      <c r="AI33" s="76" t="s">
        <v>73</v>
      </c>
      <c r="AJ33" s="76" t="s">
        <v>74</v>
      </c>
      <c r="AK33" s="76" t="s">
        <v>75</v>
      </c>
      <c r="AL33" s="76" t="s">
        <v>81</v>
      </c>
      <c r="AM33" s="76" t="s">
        <v>77</v>
      </c>
      <c r="AN33" s="76" t="s">
        <v>82</v>
      </c>
    </row>
    <row r="34" spans="9:40" x14ac:dyDescent="0.25">
      <c r="I34" s="74" t="s">
        <v>83</v>
      </c>
      <c r="J34" s="72" t="str">
        <f t="array" ref="J34">IF(L34="Desktop", "Desktop", IF(L34="Mobile", "Mobile", INDIRECT(L34)))</f>
        <v>Desktop</v>
      </c>
      <c r="K34" s="77">
        <f>IF(AND(U34=TRUE, AB34=TRUE), AB34, MAX(Summary!D35:'Summary'!E36))</f>
        <v>0</v>
      </c>
      <c r="L34" s="58" t="str">
        <f>IF(NOT(AA34=FALSE), AA34,
    IF(LEFT(MID(P34,FIND("!",P34)+1,LEN(P34)),1)="D",
        LEFT(P34,FIND("!",P34)) &amp; CHAR(CODE(LEFT(MID(P34,FIND("!",P34)+1,LEN(P34)),1))-1) &amp; MID(P34,FIND("!",P34)+2,LEN(P34)),
        LEFT(P34,FIND("!",P34)) &amp; CHAR(CODE(LEFT(MID(P34,FIND("!",P34)+1,LEN(P34)),1))-2) &amp; MID(P34,FIND("!",P34)+2,LEN(P34))))</f>
        <v>Desktop</v>
      </c>
      <c r="M34" s="72" t="str">
        <f t="array" ref="M34">IF(O34="Desktop", "Desktop", IF(O34="Mobile", "Mobile", INDIRECT(O34)))</f>
        <v>Desktop</v>
      </c>
      <c r="N34" s="77">
        <f>IF(AND(AG34=TRUE, AN34=TRUE), AN34, MIN(Summary!D35:'Summary'!E36))</f>
        <v>0</v>
      </c>
      <c r="O34" s="58" t="str">
        <f>IF(NOT(AM34=FALSE), AM34,
    IF(LEFT(MID(Q34,FIND("!",Q34)+1,LEN(Q34)),1)="D",
        LEFT(Q34,FIND("!",Q34)) &amp; CHAR(CODE(LEFT(MID(Q34,FIND("!",Q34)+1,LEN(Q34)),1))-1) &amp; MID(Q34,FIND("!",Q34)+2,LEN(Q34)),
        LEFT(Q34,FIND("!",Q34)) &amp; CHAR(CODE(LEFT(MID(Q34,FIND("!",Q34)+1,LEN(Q34)),1))-2) &amp; MID(Q34,FIND("!",Q34)+2,LEN(Q34))))</f>
        <v>Desktop</v>
      </c>
      <c r="P34" s="78" t="str">
        <f t="array" ref="P34">"Summary!" &amp; ADDRESS(MIN(IF(Summary!D35:E36=K34,ROW(Summary!D35:E36))), MIN(IF(Summary!D35:E36=K34,COLUMN(Summary!D35:E36))), 4)</f>
        <v>Summary!D35</v>
      </c>
      <c r="Q34" s="78" t="str">
        <f t="array" ref="Q34">"Summary!" &amp; ADDRESS(MIN(IF(Summary!D35:E36=N34,ROW(Summary!D35:E36))), MIN(IF(Summary!D35:E36=N34,COLUMN(Summary!D35:E36))), 4)</f>
        <v>Summary!D35</v>
      </c>
      <c r="T34" s="79">
        <f>MAX(Summary!D35:E35)</f>
        <v>0</v>
      </c>
      <c r="U34" s="79" t="b">
        <f>IF(T34=T35,  TRUE, FALSE)</f>
        <v>1</v>
      </c>
      <c r="V34" s="79" t="b">
        <f>IF(U34=TRUE, FALSE, MAX(Summary!D35:E36))</f>
        <v>0</v>
      </c>
      <c r="W34" s="76" t="b">
        <f t="array" ref="W34">IF(V34=FALSE, FALSE, ADDRESS(MAX(IF(Summary!D35:E36=V34,ROW(Summary!D35:E36))), MAX(IF(Summary!D35:E36=V34,COLUMN(Summary!D35:E36))), 4))</f>
        <v>0</v>
      </c>
      <c r="X34" s="76" t="b">
        <f>IF(U34=TRUE, IF(Summary!E35=Summary!D35, TRUE, FALSE),FALSE)</f>
        <v>1</v>
      </c>
      <c r="Y34" s="76" t="str">
        <f>IF(X34=TRUE, "Desktop")</f>
        <v>Desktop</v>
      </c>
      <c r="Z34" s="76">
        <f>IF(AND(Y34="Desktop", U34=TRUE), T34, FALSE)</f>
        <v>0</v>
      </c>
      <c r="AA34" s="76" t="str">
        <f>IF(NOT(Z34=FALSE), Y34, IF(NOT(Z35=FALSE),Y35, FALSE))</f>
        <v>Desktop</v>
      </c>
      <c r="AB34" s="76">
        <f>IF(NOT(Z34=FALSE), Z34, IF(NOT(Z35=FALSE), Z35, V34))</f>
        <v>0</v>
      </c>
      <c r="AC34" s="58"/>
      <c r="AD34" s="58"/>
      <c r="AE34" s="58"/>
      <c r="AF34" s="79">
        <f>MIN(Summary!D35:E35)</f>
        <v>0</v>
      </c>
      <c r="AG34" s="79" t="b">
        <f>IF(AF34=AF35,  TRUE, FALSE)</f>
        <v>1</v>
      </c>
      <c r="AH34" s="79" t="b">
        <f>IF(AG34=TRUE, FALSE, MIN(Summary!D35:E36))</f>
        <v>0</v>
      </c>
      <c r="AI34" s="76" t="b">
        <f t="array" ref="AI34">IF(AH34=FALSE, FALSE, ADDRESS(MIN(IF(Summary!D35:E36=AH34,ROW(Summary!D35:E36))), MIN(IF(Summary!D35:E36=AH34,COLUMN(Summary!D35:E36))), 4))</f>
        <v>0</v>
      </c>
      <c r="AJ34" s="76" t="b">
        <f>IF(AG34=TRUE, IF(Summary!D35=Summary!E35, TRUE, FALSE),FALSE)</f>
        <v>1</v>
      </c>
      <c r="AK34" s="76" t="str">
        <f>IF(AJ34=TRUE, "Desktop")</f>
        <v>Desktop</v>
      </c>
      <c r="AL34" s="76">
        <f>IF(AND(AK34="Desktop", AG34=TRUE), AF34, FALSE)</f>
        <v>0</v>
      </c>
      <c r="AM34" s="76" t="str">
        <f>IF(NOT(AL34=FALSE), AK34, IF(NOT(AL35=FALSE),AK35, FALSE))</f>
        <v>Desktop</v>
      </c>
      <c r="AN34" s="76">
        <f>IF(NOT(AL34=FALSE), AL34, IF(NOT(AL35=FALSE), AL35, AH34))</f>
        <v>0</v>
      </c>
    </row>
    <row r="35" spans="9:40" x14ac:dyDescent="0.25">
      <c r="I35" s="74" t="s">
        <v>84</v>
      </c>
      <c r="J35" s="72" t="str">
        <f>IF(J34="Desktop",IF(Summary!D35=Summary!E35,"with and without cache",(IF(Summary!D35&gt;Summary!E35,"with cache","without cache"))),IF(Summary!D36=Summary!E36,"with and without cache",(IF(Summary!D36&gt;Summary!E36,"with cache","without cache"))))</f>
        <v>with and without cache</v>
      </c>
      <c r="L35" s="72"/>
      <c r="M35" s="80" t="str">
        <f>IF(M34="Desktop",IF(Summary!D35=Summary!E35,"with and without cache",IF(Summary!D35&lt;Summary!E35,"with cache","without cache")),IF(Summary!D36=Summary!E36,"with and without cache",IF(Summary!D36&lt;Summary!E36,"with cache","without cache")))</f>
        <v>with and without cache</v>
      </c>
      <c r="N35" s="72"/>
      <c r="P35" s="78"/>
      <c r="Q35" s="78"/>
      <c r="T35" s="79">
        <f>MAX(Summary!D36:E36)</f>
        <v>0</v>
      </c>
      <c r="U35" s="79" t="b">
        <f>IF(T34=T35,  TRUE, FALSE)</f>
        <v>1</v>
      </c>
      <c r="V35" s="79" t="b">
        <f>IF(U35=TRUE, FALSE, MAX(Summary!D36:E37))</f>
        <v>0</v>
      </c>
      <c r="W35" s="76" t="b">
        <f t="array" ref="W35">IF(V35=FALSE, FALSE, ADDRESS(MAX(IF(Summary!D36:E37=V35,ROW(Summary!D36:E37))), MAX(IF(Summary!D36:E37=V35,COLUMN(Summary!D36:E37))), 4))</f>
        <v>0</v>
      </c>
      <c r="X35" s="76" t="b">
        <f>IF(U35=TRUE, IF(Summary!E36=Summary!D36, TRUE, FALSE),FALSE)</f>
        <v>1</v>
      </c>
      <c r="Y35" s="76" t="str">
        <f>IF(X35=TRUE, "Mobile")</f>
        <v>Mobile</v>
      </c>
      <c r="Z35" s="76">
        <f>IF(AND(Y35="Mobile", U35=TRUE), T35, FALSE)</f>
        <v>0</v>
      </c>
      <c r="AA35" s="76"/>
      <c r="AB35" s="76"/>
      <c r="AC35" s="58"/>
      <c r="AD35" s="58"/>
      <c r="AE35" s="58"/>
      <c r="AF35" s="79">
        <f>MIN(Summary!D36:E36)</f>
        <v>0</v>
      </c>
      <c r="AG35" s="79" t="b">
        <f>IF(AF34=AF35,  TRUE, FALSE)</f>
        <v>1</v>
      </c>
      <c r="AH35" s="79" t="b">
        <f>IF(AG35=TRUE, FALSE, MIN(Summary!D36:E37))</f>
        <v>0</v>
      </c>
      <c r="AI35" s="76" t="b">
        <f t="array" ref="AI35">IF(AH35=FALSE, FALSE, ADDRESS(MIN(IF(Summary!D35:E36=AH35,ROW(Summary!D35:E36))), MIN(IF(Summary!D35:E36=AH35,COLUMN(Summary!D35:E36))), 4))</f>
        <v>0</v>
      </c>
      <c r="AJ35" s="76" t="b">
        <f>IF(AG35=TRUE, IF(Summary!D36=Summary!E36, TRUE, FALSE),FALSE)</f>
        <v>1</v>
      </c>
      <c r="AK35" s="76" t="str">
        <f>IF(AJ35=TRUE, "Mobile")</f>
        <v>Mobile</v>
      </c>
      <c r="AL35" s="76">
        <f>IF(AND(AK35="Mobile", AG35=TRUE), AF35, FALSE)</f>
        <v>0</v>
      </c>
      <c r="AM35" s="76"/>
      <c r="AN35" s="76"/>
    </row>
    <row r="36" spans="12:15" x14ac:dyDescent="0.25">
      <c r="L36" s="78"/>
      <c r="M36" s="78"/>
      <c r="N36" s="78"/>
      <c r="O36" s="78"/>
    </row>
    <row r="37" spans="12:42" x14ac:dyDescent="0.25">
      <c r="L37" s="78"/>
      <c r="M37" s="78"/>
      <c r="N37" s="78"/>
      <c r="O37" s="78"/>
      <c r="T37" s="81" t="s">
        <v>85</v>
      </c>
      <c r="U37" s="82"/>
      <c r="V37" s="82"/>
      <c r="W37" s="82"/>
      <c r="X37" s="82"/>
      <c r="Y37" s="82"/>
      <c r="Z37" s="82"/>
      <c r="AA37" s="82"/>
      <c r="AB37" s="82"/>
      <c r="AC37" s="82"/>
      <c r="AD37" s="83"/>
      <c r="AF37" s="84" t="s">
        <v>85</v>
      </c>
      <c r="AG37" s="85"/>
      <c r="AH37" s="85"/>
      <c r="AI37" s="85"/>
      <c r="AJ37" s="85"/>
      <c r="AK37" s="85"/>
      <c r="AL37" s="85"/>
      <c r="AM37" s="85"/>
      <c r="AN37" s="85"/>
      <c r="AO37" s="85"/>
      <c r="AP37" s="86"/>
    </row>
    <row r="38" spans="9:42" x14ac:dyDescent="0.25">
      <c r="I38" s="74" t="s">
        <v>86</v>
      </c>
      <c r="J38" s="76" t="s">
        <v>64</v>
      </c>
      <c r="K38" s="76" t="s">
        <v>67</v>
      </c>
      <c r="L38" s="78"/>
      <c r="M38" s="78"/>
      <c r="N38" s="78"/>
      <c r="O38" s="78"/>
      <c r="T38" s="87" t="s">
        <v>87</v>
      </c>
      <c r="U38" s="58" t="s">
        <v>73</v>
      </c>
      <c r="V38" s="58" t="s">
        <v>88</v>
      </c>
      <c r="W38" s="58" t="s">
        <v>89</v>
      </c>
      <c r="X38" s="58" t="s">
        <v>90</v>
      </c>
      <c r="Y38" s="58" t="s">
        <v>91</v>
      </c>
      <c r="Z38" s="58" t="s">
        <v>92</v>
      </c>
      <c r="AA38" s="58" t="s">
        <v>3</v>
      </c>
      <c r="AB38" s="58" t="s">
        <v>93</v>
      </c>
      <c r="AC38" s="58" t="s">
        <v>4</v>
      </c>
      <c r="AD38" s="88" t="s">
        <v>94</v>
      </c>
      <c r="AF38" s="89" t="s">
        <v>95</v>
      </c>
      <c r="AG38" t="s">
        <v>73</v>
      </c>
      <c r="AH38" t="s">
        <v>96</v>
      </c>
      <c r="AI38" t="s">
        <v>97</v>
      </c>
      <c r="AJ38" t="s">
        <v>90</v>
      </c>
      <c r="AK38" t="s">
        <v>91</v>
      </c>
      <c r="AL38" t="s">
        <v>92</v>
      </c>
      <c r="AM38" t="s">
        <v>3</v>
      </c>
      <c r="AN38" t="s">
        <v>93</v>
      </c>
      <c r="AO38" t="s">
        <v>4</v>
      </c>
      <c r="AP38" s="90" t="s">
        <v>94</v>
      </c>
    </row>
    <row r="39" spans="9:42" x14ac:dyDescent="0.25">
      <c r="I39" s="74" t="s">
        <v>98</v>
      </c>
      <c r="J39" s="79">
        <f>MAX(K6,N6,K10,N10,K14,N14,K18,N18,K18,K22,N22,K26,N26,K30,N30,K34,N34)</f>
        <v>0</v>
      </c>
      <c r="K39" s="79">
        <f>MIN(K6,N6,K10,N10,K14,N14,K18,N18,K18,K22,N22,K26,N26,K30,N30,K34,N34)</f>
        <v>0</v>
      </c>
      <c r="L39" s="78"/>
      <c r="M39" s="78"/>
      <c r="N39" s="78"/>
      <c r="O39" s="78"/>
      <c r="T39" s="91">
        <f>IF(J7="with and without cache", K6, -1)</f>
        <v>0</v>
      </c>
      <c r="U39" s="58" t="s">
        <v>99</v>
      </c>
      <c r="V39" s="58">
        <f t="array" ref="V39">_xlfn._xlws.FILTER(T39:T46, T39:T46=MAX(T39:T46))</f>
        <v>0</v>
      </c>
      <c r="W39" s="58" t="str">
        <f t="array" ref="W39">_xlfn._xlws.FILTER(ADDRESS(ROW(T39:T46), COLUMN(T39:T46), 4), T39:T46=MAX(T39:T46))</f>
        <v>T39</v>
      </c>
      <c r="X39" s="58" t="str">
        <f t="array" ref="X39">_xlfn._xlws.FILTER(U39:U46, T39:T46=MAX(T39:T46))</f>
        <v>K6</v>
      </c>
      <c r="Y39" s="58" t="str">
        <f t="array" ref="Y39">_xlfn.MAP(_xlfn.ANCHORARRAY(X39), _xlfn.LAMBDA(_xlpm.cell_address, INDIRECT(ADDRESS(ROW(INDIRECT(_xlpm.cell_address))-1, COLUMN(INDIRECT(_xlpm.cell_address))-2))))</f>
        <v>01_Home</v>
      </c>
      <c r="Z39" s="58" t="str">
        <f t="array" ref="Z39">_xlfn.TEXTJOIN(", ", TRUE,_xlfn.ANCHORARRAY( Y39))</f>
        <v>01_Home</v>
      </c>
      <c r="AA39" s="58" t="str">
        <f t="array" ref="AA39">_xlfn.MAP(_xlfn.ANCHORARRAY(X39), _xlfn.LAMBDA(_xlpm.cell_address, MID(INDIRECT(ADDRESS(ROW(INDIRECT(_xlpm.cell_address))-1, COLUMN(INDIRECT(_xlpm.cell_address))-2)), FIND("_", INDIRECT(ADDRESS(ROW(INDIRECT(_xlpm.cell_address))-1, COLUMN(INDIRECT(_xlpm.cell_address))-2)))+1, 999)))</f>
        <v>Home</v>
      </c>
      <c r="AB39" s="58" t="str">
        <f t="array" ref="AB39">_xlfn.TEXTJOIN(", ", TRUE,_xlfn.ANCHORARRAY( AA39))</f>
        <v>Home</v>
      </c>
      <c r="AC39" s="58" t="str">
        <f t="array" ref="AC39">_xlfn.MAP(_xlfn.ANCHORARRAY(X39), _xlfn.LAMBDA(_xlpm.cell_address, INDIRECT(ADDRESS(ROW(INDIRECT(_xlpm.cell_address)), COLUMN(INDIRECT(_xlpm.cell_address))-1))))</f>
        <v>Desktop</v>
      </c>
      <c r="AD39" s="88" t="str">
        <f t="array" ref="AD39">_xlfn.MAP(_xlfn.ANCHORARRAY(X39), _xlfn.LAMBDA(_xlpm.cell_address, INDIRECT(ADDRESS(ROW(INDIRECT(_xlpm.cell_address))+1, COLUMN(INDIRECT(_xlpm.cell_address))-1))))</f>
        <v>with and without cache</v>
      </c>
      <c r="AF39" s="92">
        <f>IF(M7="with and without cache", N6, 99999)</f>
        <v>0</v>
      </c>
      <c r="AG39" t="s">
        <v>100</v>
      </c>
      <c r="AH39">
        <f t="array" ref="AH39">_xlfn._xlws.FILTER(AF39:AF46, AF39:AF46=MIN(AF39:AF46))</f>
        <v>0</v>
      </c>
      <c r="AI39" t="str">
        <f t="array" ref="AI39">_xlfn._xlws.FILTER(ADDRESS(ROW(AF39:AF46), COLUMN(AF39:AF46), 4), AF39:AF46=MIN(AF39:AF46))</f>
        <v>AF39</v>
      </c>
      <c r="AJ39" t="str">
        <f t="array" ref="AJ39">_xlfn._xlws.FILTER(AG39:AG46, AF39:AF46=MIN(AF39:AF46))</f>
        <v>N6</v>
      </c>
      <c r="AK39" t="str">
        <f t="array" ref="AK39">_xlfn.MAP(_xlfn.ANCHORARRAY(AJ39), _xlfn.LAMBDA(_xlpm.cell_address, INDIRECT(ADDRESS(ROW(INDIRECT(_xlpm.cell_address))-1, COLUMN(INDIRECT(_xlpm.cell_address))-5))))</f>
        <v>01_Home</v>
      </c>
      <c r="AL39" t="str">
        <f t="array" ref="AL39">_xlfn.TEXTJOIN(", ", TRUE,_xlfn.ANCHORARRAY( AK39))</f>
        <v>01_Home</v>
      </c>
      <c r="AM39" t="str">
        <f t="array" ref="AM39">_xlfn.MAP(_xlfn.ANCHORARRAY(AJ39), _xlfn.LAMBDA(_xlpm.cell_address, MID(INDIRECT(ADDRESS(ROW(INDIRECT(_xlpm.cell_address))-1, COLUMN(INDIRECT(_xlpm.cell_address))-5)), FIND("_", INDIRECT(ADDRESS(ROW(INDIRECT(_xlpm.cell_address))-1, COLUMN(INDIRECT(_xlpm.cell_address))-5)))+1, 999)))</f>
        <v>Home</v>
      </c>
      <c r="AN39" t="str">
        <f t="array" ref="AN39">_xlfn.TEXTJOIN(", ", TRUE,_xlfn.ANCHORARRAY( AM39))</f>
        <v>Home</v>
      </c>
      <c r="AO39" s="58" t="str">
        <f t="array" ref="AO39">_xlfn.MAP(_xlfn.ANCHORARRAY(AJ39), _xlfn.LAMBDA(_xlpm.cell_address, INDIRECT(ADDRESS(ROW(INDIRECT(_xlpm.cell_address)), COLUMN(INDIRECT(_xlpm.cell_address))-1))))</f>
        <v>Desktop</v>
      </c>
      <c r="AP39" s="88" t="str">
        <f t="array" ref="AP39">_xlfn.MAP(_xlfn.ANCHORARRAY(AJ39), _xlfn.LAMBDA(_xlpm.cell_address, INDIRECT(ADDRESS(ROW(INDIRECT(_xlpm.cell_address))+1, COLUMN(INDIRECT(_xlpm.cell_address))-1))))</f>
        <v>with and without cache</v>
      </c>
    </row>
    <row r="40" spans="9:42" x14ac:dyDescent="0.25">
      <c r="I40" s="74" t="s">
        <v>101</v>
      </c>
      <c r="J40" s="76" t="str">
        <f t="array" ref="J40">ADDRESS(MIN(IF(Summary!D7:E36=J39,ROW(Summary!D7:E36))), MIN(IF(Summary!D7:E36=J39,COLUMN(Summary!D7:E36))), 4)</f>
        <v>D7</v>
      </c>
      <c r="K40" s="76" t="str">
        <f t="array" ref="K40">ADDRESS(MIN(IF(Summary!D7:E36=K39,ROW(Summary!D7:E36))), MIN(IF(Summary!D7:E36=K39,COLUMN(Summary!D7:E36))), 4)</f>
        <v>D7</v>
      </c>
      <c r="L40" s="78"/>
      <c r="M40" s="78"/>
      <c r="N40" s="78"/>
      <c r="O40" s="78"/>
      <c r="T40" s="91">
        <f>IF(J11="with and without cache", K10, FALSE)</f>
        <v>0</v>
      </c>
      <c r="U40" s="58" t="s">
        <v>102</v>
      </c>
      <c r="V40" s="58"/>
      <c r="W40" s="58"/>
      <c r="X40" s="58"/>
      <c r="Y40" s="58"/>
      <c r="Z40" s="58"/>
      <c r="AA40" s="58"/>
      <c r="AB40" s="58"/>
      <c r="AC40" s="58"/>
      <c r="AD40" s="88"/>
      <c r="AF40" s="92">
        <f>IF(M11="with and without cache", N10, FALSE)</f>
        <v>0</v>
      </c>
      <c r="AG40" t="s">
        <v>103</v>
      </c>
      <c r="AP40" s="90"/>
    </row>
    <row r="41" spans="9:42" x14ac:dyDescent="0.25">
      <c r="I41" s="74" t="s">
        <v>104</v>
      </c>
      <c r="J41" s="76" t="str">
        <f>"Summary!" &amp; IF(Formula_Sheet!U6,
      CHAR(CODE(LEFT(J40,1)) + 1)&amp;MID(J40,2,99),
      CHAR(CODE(LEFT(J40,1)) + 1)&amp;MID(J40,2,99))</f>
        <v>Summary!E7</v>
      </c>
      <c r="K41" s="76" t="str">
        <f>"Summary!" &amp; IF(LEFT(K40,1)="D",
      CHAR(CODE(LEFT(K40,1)) + 1)&amp;MID(K40,2,99),
      K40)</f>
        <v>Summary!E7</v>
      </c>
      <c r="T41" s="91">
        <f>IF(J15="with and without cache", K14, FALSE)</f>
        <v>0</v>
      </c>
      <c r="U41" s="78" t="s">
        <v>105</v>
      </c>
      <c r="V41" s="58"/>
      <c r="W41" s="58"/>
      <c r="X41" s="58"/>
      <c r="Y41" s="58"/>
      <c r="Z41" s="58"/>
      <c r="AA41" s="58"/>
      <c r="AB41" s="58"/>
      <c r="AC41" s="58"/>
      <c r="AD41" s="88"/>
      <c r="AF41" s="92">
        <f>IF(M15="with and without cache", N14, FALSE)</f>
        <v>0</v>
      </c>
      <c r="AG41" s="93" t="s">
        <v>106</v>
      </c>
      <c r="AP41" s="90"/>
    </row>
    <row r="42" spans="9:42" x14ac:dyDescent="0.25">
      <c r="I42" s="74" t="s">
        <v>107</v>
      </c>
      <c r="J42" s="76" t="str">
        <f t="array" ref="J42">IF(LEFT(J40,1)="D",
    IF(J39=INDIRECT(J41), "with and without cache", "with cache"),
 IF(LEFT(J40,1)="E",
        "without cache", "Incorrect cache location"
    )
)</f>
        <v>with and without cache</v>
      </c>
      <c r="K42" s="76" t="str">
        <f t="array" ref="K42">IF(LEFT(K40,1)="D",
    IF(K39=INDIRECT(K41), "with and without cache", "with cache"),
 IF(LEFT(K40,1)="E",
        "without cache", "Incorrect cache location"
    )
)</f>
        <v>with and without cache</v>
      </c>
      <c r="T42" s="91">
        <f>IF(J19="with and without cache", K18, FALSE)</f>
        <v>0</v>
      </c>
      <c r="U42" s="58" t="s">
        <v>108</v>
      </c>
      <c r="V42" s="58"/>
      <c r="W42" s="58"/>
      <c r="X42" s="58"/>
      <c r="Y42" s="58"/>
      <c r="Z42" s="58"/>
      <c r="AA42" s="58"/>
      <c r="AB42" s="58"/>
      <c r="AC42" s="58"/>
      <c r="AD42" s="88"/>
      <c r="AF42" s="92">
        <f>IF(M19="with and without cache", N18, FALSE)</f>
        <v>0</v>
      </c>
      <c r="AG42" t="s">
        <v>109</v>
      </c>
      <c r="AP42" s="90"/>
    </row>
    <row r="43" spans="9:42" x14ac:dyDescent="0.25">
      <c r="I43" s="74" t="s">
        <v>110</v>
      </c>
      <c r="J43" s="76" t="str">
        <f>"Summary!" &amp; IF(LEFT(J40,1)="D",
    CHAR(CODE(LEFT(J40,1)) - 1) &amp; MID(J40,2,99),
    CHAR(CODE(LEFT(J40,1)) - 2) &amp; MID(J40,2,99)
)</f>
        <v>Summary!C7</v>
      </c>
      <c r="K43" s="76" t="str">
        <f>"Summary!" &amp; IF(LEFT(K40,1)="D",
    CHAR(CODE(LEFT(K40,1)) - 1) &amp; MID(K40,2,99),
    CHAR(CODE(LEFT(K40,1)) - 2) &amp; MID(K40,2,99)
)</f>
        <v>Summary!C7</v>
      </c>
      <c r="L43" s="78"/>
      <c r="M43" s="78"/>
      <c r="N43" s="78"/>
      <c r="O43" s="78"/>
      <c r="T43" s="91">
        <f>IF(J23="with and without cache", K22, FALSE)</f>
        <v>0</v>
      </c>
      <c r="U43" s="58" t="s">
        <v>111</v>
      </c>
      <c r="V43" s="58"/>
      <c r="W43" s="58"/>
      <c r="X43" s="58"/>
      <c r="Y43" s="58"/>
      <c r="Z43" s="58"/>
      <c r="AA43" s="58"/>
      <c r="AB43" s="58"/>
      <c r="AC43" s="58"/>
      <c r="AD43" s="88"/>
      <c r="AF43" s="92">
        <f>IF(M23="with and without cache", N22, FALSE)</f>
        <v>0</v>
      </c>
      <c r="AG43" t="s">
        <v>112</v>
      </c>
      <c r="AP43" s="90"/>
    </row>
    <row r="44" spans="9:42" x14ac:dyDescent="0.25">
      <c r="I44" s="74" t="s">
        <v>113</v>
      </c>
      <c r="J44" s="76" t="str">
        <f>"Summary!" &amp; CHAR(CODE(LEFT(J40,1))
    - IF(LEFT(J40,1)="E", 3,
        IF(LEFT(J40,1)="D", 2, 0)
    )
)
&amp; (MID(J40,2,99)
    - IF(LEFT(J40,1)="E", 0,
        IF(LEFT(J40,1)="D", 0, 0)
    )
)</f>
        <v>Summary!B7</v>
      </c>
      <c r="K44" s="76" t="str">
        <f>"Summary!" &amp; CHAR(CODE(LEFT(K40,1))
    - IF(LEFT(K40,1)="E", 3,
        IF(LEFT(K40,1)="D", 2, 0)
    )
)
&amp; (MID(K40,2,99)
    - IF(LEFT(K40,1)="E", 1,
        IF(LEFT(K40,1)="D", 0, 0)
    )
)</f>
        <v>Summary!B7</v>
      </c>
      <c r="T44" s="91">
        <f>IF(J27="with and without cache", K26, FALSE)</f>
        <v>0</v>
      </c>
      <c r="U44" s="58" t="s">
        <v>114</v>
      </c>
      <c r="V44" s="58"/>
      <c r="W44" s="58"/>
      <c r="X44" s="58"/>
      <c r="Y44" s="58"/>
      <c r="Z44" s="58"/>
      <c r="AA44" s="58"/>
      <c r="AB44" s="58"/>
      <c r="AC44" s="58"/>
      <c r="AD44" s="88"/>
      <c r="AF44" s="92" t="b">
        <f>IF(M26="with and without cache", N26, FALSE)</f>
        <v>0</v>
      </c>
      <c r="AG44" t="s">
        <v>115</v>
      </c>
      <c r="AP44" s="90"/>
    </row>
    <row r="45" spans="9:42" x14ac:dyDescent="0.25">
      <c r="I45" s="74" t="s">
        <v>116</v>
      </c>
      <c r="J45" s="76" t="str">
        <f t="array" ref="J45">IF(INDIRECT(J44)=0,
    IF(INDIRECT(LEFT(J44,FIND("!",J44)) &amp; LEFT(RIGHT(J44,LEN(J44)-FIND("!",J44)),1) &amp; (MID(RIGHT(J44,LEN(J44)-FIND("!",J44)),2,99)-3))=0,
        INDIRECT(LEFT(J44,FIND("!",J44)) &amp; LEFT(RIGHT(J44,LEN(J44)-FIND("!",J44)),1) &amp; (MID(RIGHT(J44,LEN(J44)-FIND("!",J44)),2,99)-1)),
        INDIRECT(LEFT(J44,FIND("!",J44)) &amp; LEFT(RIGHT(J44,LEN(J44)-FIND("!",J44)),1) &amp; (MID(RIGHT(J44,LEN(J44)-FIND("!",J44)),2,99)-3))
    ),
    INDIRECT(J44)
)</f>
        <v>01_Home</v>
      </c>
      <c r="K45" s="76" t="str">
        <f t="array" ref="K45">IF(INDIRECT(K44)=0,
    IF(INDIRECT(LEFT(K44,FIND("!",K44)) &amp; LEFT(RIGHT(K44,LEN(K44)-FIND("!",K44)),1) &amp; (MID(RIGHT(K44,LEN(K44)-FIND("!",K44)),2,99)-3))=0,
        INDIRECT(LEFT(K44,FIND("!",K44)) &amp; LEFT(RIGHT(K44,LEN(K44)-FIND("!",K44)),1) &amp; (MID(RIGHT(K44,LEN(K44)-FIND("!",K44)),2,99)-1)),
        INDIRECT(LEFT(K44,FIND("!",K44)) &amp; LEFT(RIGHT(K44,LEN(K44)-FIND("!",K44)),1) &amp; (MID(RIGHT(K44,LEN(K44)-FIND("!",K44)),2,99)+1))
    ),
    INDIRECT(K44)
)</f>
        <v>01_Home</v>
      </c>
      <c r="T45" s="91">
        <f>IF(J31="with and without cache", K30, FALSE)</f>
        <v>0</v>
      </c>
      <c r="U45" s="58" t="s">
        <v>117</v>
      </c>
      <c r="V45" s="58"/>
      <c r="W45" s="58"/>
      <c r="X45" s="58"/>
      <c r="Y45" s="58"/>
      <c r="Z45" s="58"/>
      <c r="AA45" s="58"/>
      <c r="AB45" s="58"/>
      <c r="AC45" s="58"/>
      <c r="AD45" s="88"/>
      <c r="AF45" s="92">
        <f>IF(M31="with and without cache", N30, FALSE)</f>
        <v>0</v>
      </c>
      <c r="AG45" t="s">
        <v>118</v>
      </c>
      <c r="AP45" s="90"/>
    </row>
    <row r="46" spans="9:42" x14ac:dyDescent="0.25">
      <c r="I46" s="74" t="s">
        <v>119</v>
      </c>
      <c r="J46" s="76" t="str">
        <f>RIGHT(J45, LEN(J45) - 3)</f>
        <v>Home</v>
      </c>
      <c r="K46" s="76" t="str">
        <f>RIGHT(K45, LEN(K45) - 3)</f>
        <v>Home</v>
      </c>
      <c r="T46" s="94">
        <f>IF(J35="with and without cache", K34, FALSE)</f>
        <v>0</v>
      </c>
      <c r="U46" s="95" t="s">
        <v>120</v>
      </c>
      <c r="V46" s="95"/>
      <c r="W46" s="95"/>
      <c r="X46" s="95"/>
      <c r="Y46" s="95"/>
      <c r="Z46" s="95"/>
      <c r="AA46" s="95"/>
      <c r="AB46" s="95"/>
      <c r="AC46" s="95"/>
      <c r="AD46" s="96"/>
      <c r="AF46" s="97">
        <f>IF(M35="with and without cache", N34, FALSE)</f>
        <v>0</v>
      </c>
      <c r="AG46" s="98" t="s">
        <v>121</v>
      </c>
      <c r="AH46" s="98"/>
      <c r="AI46" s="98"/>
      <c r="AJ46" s="98"/>
      <c r="AK46" s="98"/>
      <c r="AL46" s="98"/>
      <c r="AM46" s="98"/>
      <c r="AN46" s="98"/>
      <c r="AO46" s="98"/>
      <c r="AP46" s="99"/>
    </row>
    <row r="47" spans="10:34" x14ac:dyDescent="0.25">
      <c r="J47" s="58" t="b">
        <f>IF(J39&gt;V39, TRUE, FALSE)</f>
        <v>0</v>
      </c>
      <c r="K47" s="58" t="b">
        <f>IF(K39&lt;AH39, TRUE, FALSE)</f>
        <v>0</v>
      </c>
      <c r="AH47">
        <f>COUNT(AH39:AH46)</f>
        <v>1</v>
      </c>
    </row>
    <row r="48" spans="13:42" x14ac:dyDescent="0.25">
      <c r="M48" s="78"/>
      <c r="T48" s="81" t="s">
        <v>122</v>
      </c>
      <c r="U48" s="82"/>
      <c r="V48" s="82"/>
      <c r="W48" s="82"/>
      <c r="X48" s="82"/>
      <c r="Y48" s="82"/>
      <c r="Z48" s="82"/>
      <c r="AA48" s="82"/>
      <c r="AB48" s="82"/>
      <c r="AC48" s="82"/>
      <c r="AD48" s="83"/>
      <c r="AF48" s="84" t="s">
        <v>122</v>
      </c>
      <c r="AG48" s="85"/>
      <c r="AH48" s="85"/>
      <c r="AI48" s="85"/>
      <c r="AJ48" s="85"/>
      <c r="AK48" s="85"/>
      <c r="AL48" s="85"/>
      <c r="AM48" s="85"/>
      <c r="AN48" s="85"/>
      <c r="AO48" s="85"/>
      <c r="AP48" s="86"/>
    </row>
    <row r="49" spans="20:42" x14ac:dyDescent="0.25">
      <c r="T49" s="87" t="s">
        <v>87</v>
      </c>
      <c r="U49" s="58" t="s">
        <v>73</v>
      </c>
      <c r="V49" s="58" t="s">
        <v>88</v>
      </c>
      <c r="W49" s="58" t="s">
        <v>89</v>
      </c>
      <c r="X49" s="58" t="s">
        <v>90</v>
      </c>
      <c r="Y49" s="58" t="s">
        <v>91</v>
      </c>
      <c r="Z49" s="58" t="s">
        <v>92</v>
      </c>
      <c r="AA49" s="58" t="s">
        <v>3</v>
      </c>
      <c r="AB49" s="58" t="s">
        <v>93</v>
      </c>
      <c r="AC49" s="58" t="s">
        <v>4</v>
      </c>
      <c r="AD49" s="88" t="s">
        <v>94</v>
      </c>
      <c r="AF49" s="87" t="s">
        <v>87</v>
      </c>
      <c r="AG49" s="58" t="s">
        <v>73</v>
      </c>
      <c r="AH49" s="58" t="s">
        <v>88</v>
      </c>
      <c r="AI49" s="58" t="s">
        <v>89</v>
      </c>
      <c r="AJ49" s="58" t="s">
        <v>90</v>
      </c>
      <c r="AK49" s="58" t="s">
        <v>91</v>
      </c>
      <c r="AL49" s="58" t="s">
        <v>92</v>
      </c>
      <c r="AM49" s="58" t="s">
        <v>3</v>
      </c>
      <c r="AN49" s="58" t="s">
        <v>93</v>
      </c>
      <c r="AO49" s="58" t="s">
        <v>4</v>
      </c>
      <c r="AP49" s="88" t="s">
        <v>94</v>
      </c>
    </row>
    <row r="50" spans="20:42" x14ac:dyDescent="0.25">
      <c r="T50" s="87">
        <f>IF(OR(J7="with cache", J7="without cache"), K6, -1)</f>
        <v>-1</v>
      </c>
      <c r="U50" s="58" t="s">
        <v>99</v>
      </c>
      <c r="V50" s="78">
        <f t="array" ref="V50">_xlfn._xlws.FILTER(T50:T57, T50:T57=MAX(T50:T57))</f>
        <v>-1</v>
      </c>
      <c r="W50" s="58" t="str">
        <f t="array" ref="W50">_xlfn._xlws.FILTER(ADDRESS(ROW(T50:T57), COLUMN(T50:T57), 4), T50:T57=MAX(T50:T57))</f>
        <v>T50</v>
      </c>
      <c r="X50" s="58" t="str">
        <f t="array" ref="X50">_xlfn._xlws.FILTER(U50:U57, T50:T57=MAX(T50:T57))</f>
        <v>K6</v>
      </c>
      <c r="Y50" s="58" t="str">
        <f t="array" ref="Y50">_xlfn.MAP(_xlfn.ANCHORARRAY(X50), _xlfn.LAMBDA(_xlpm.cell_address, INDIRECT(ADDRESS(ROW(INDIRECT(_xlpm.cell_address))-1, COLUMN(INDIRECT(_xlpm.cell_address))-2))))</f>
        <v>01_Home</v>
      </c>
      <c r="Z50" s="58" t="str">
        <f t="array" ref="Z50">_xlfn.TEXTJOIN(", ", TRUE,_xlfn.ANCHORARRAY( Y50))</f>
        <v>01_Home</v>
      </c>
      <c r="AA50" s="58" t="str">
        <f t="array" ref="AA50">_xlfn.MAP(_xlfn.ANCHORARRAY(X50), _xlfn.LAMBDA(_xlpm.cell_address, MID(INDIRECT(ADDRESS(ROW(INDIRECT(_xlpm.cell_address))-1, COLUMN(INDIRECT(_xlpm.cell_address))-2)), FIND("_", INDIRECT(ADDRESS(ROW(INDIRECT(_xlpm.cell_address))-1, COLUMN(INDIRECT(_xlpm.cell_address))-2)))+1, 999)))</f>
        <v>Home</v>
      </c>
      <c r="AB50" s="58" t="str">
        <f t="array" ref="AB50">_xlfn.TEXTJOIN(", ", TRUE,_xlfn.ANCHORARRAY( AA50))</f>
        <v>Home</v>
      </c>
      <c r="AC50" s="58" t="str">
        <f t="array" ref="AC50">_xlfn.MAP(_xlfn.ANCHORARRAY(X50), _xlfn.LAMBDA(_xlpm.cell_address, INDIRECT(ADDRESS(ROW(INDIRECT(_xlpm.cell_address)), COLUMN(INDIRECT(_xlpm.cell_address))-1))))</f>
        <v>Desktop</v>
      </c>
      <c r="AD50" s="88" t="str">
        <f t="array" ref="AD50">_xlfn.MAP(_xlfn.ANCHORARRAY(X50), _xlfn.LAMBDA(_xlpm.cell_address, INDIRECT(ADDRESS(ROW(INDIRECT(_xlpm.cell_address))+1, COLUMN(INDIRECT(_xlpm.cell_address))-1))))</f>
        <v>with and without cache</v>
      </c>
      <c r="AF50" s="87">
        <f>IF(OR(M7="with cache", M7="without cache"), N6, 99999)</f>
        <v>99999</v>
      </c>
      <c r="AG50" t="s">
        <v>100</v>
      </c>
      <c r="AH50" s="78">
        <f t="array" ref="AH50">_xlfn._xlws.FILTER(AF50:AF57, AF50:AF57=MIN(AF50:AF57))</f>
        <v>99999</v>
      </c>
      <c r="AI50" s="58" t="str">
        <f t="array" ref="AI50">_xlfn._xlws.FILTER(ADDRESS(ROW(AF50:AF57), COLUMN(AF50:AF57), 4), AF50:AF57=MIN(AF50:AF57))</f>
        <v>AF50</v>
      </c>
      <c r="AJ50" s="58" t="str">
        <f t="array" ref="AJ50">_xlfn._xlws.FILTER(AG50:AG57, AF50:AF57=MIN(AF50:AF57))</f>
        <v>N6</v>
      </c>
      <c r="AK50" s="58" t="str">
        <f t="array" ref="AK50">_xlfn.MAP(_xlfn.ANCHORARRAY(AJ50), _xlfn.LAMBDA(_xlpm.cell_address, INDIRECT(ADDRESS(ROW(INDIRECT(_xlpm.cell_address))-1, COLUMN(INDIRECT(_xlpm.cell_address))-5))))</f>
        <v>01_Home</v>
      </c>
      <c r="AL50" s="58" t="str">
        <f t="array" ref="AL50">_xlfn.TEXTJOIN(", ", TRUE,_xlfn.ANCHORARRAY( AK50))</f>
        <v>01_Home</v>
      </c>
      <c r="AM50" s="58" t="str">
        <f t="array" ref="AM50">_xlfn.MAP(_xlfn.ANCHORARRAY(AJ50), _xlfn.LAMBDA(_xlpm.cell_address, MID(INDIRECT(ADDRESS(ROW(INDIRECT(_xlpm.cell_address))-1, COLUMN(INDIRECT(_xlpm.cell_address))-5)), FIND("_", INDIRECT(ADDRESS(ROW(INDIRECT(_xlpm.cell_address))-1, COLUMN(INDIRECT(_xlpm.cell_address))-5)))+1, 999)))</f>
        <v>Home</v>
      </c>
      <c r="AN50" s="58" t="str">
        <f t="array" ref="AN50">_xlfn.TEXTJOIN(", ", TRUE,_xlfn.ANCHORARRAY( AM50))</f>
        <v>Home</v>
      </c>
      <c r="AO50" s="58" t="str">
        <f t="array" ref="AO50">_xlfn.MAP(_xlfn.ANCHORARRAY(AJ50), _xlfn.LAMBDA(_xlpm.cell_address, INDIRECT(ADDRESS(ROW(INDIRECT(_xlpm.cell_address)), COLUMN(INDIRECT(_xlpm.cell_address))-1))))</f>
        <v>Desktop</v>
      </c>
      <c r="AP50" s="88" t="str">
        <f t="array" ref="AP50">_xlfn.MAP(_xlfn.ANCHORARRAY(AJ50), _xlfn.LAMBDA(_xlpm.cell_address, INDIRECT(ADDRESS(ROW(INDIRECT(_xlpm.cell_address))+1, COLUMN(INDIRECT(_xlpm.cell_address))-1))))</f>
        <v>with and without cache</v>
      </c>
    </row>
    <row r="51" spans="20:42" x14ac:dyDescent="0.25">
      <c r="T51" s="87" t="b">
        <f>IF(OR(J11="with cache", J11="without cache"), K10, FALSE)</f>
        <v>0</v>
      </c>
      <c r="U51" s="58" t="s">
        <v>102</v>
      </c>
      <c r="V51" s="58"/>
      <c r="W51" s="58"/>
      <c r="X51" s="58"/>
      <c r="Y51" s="58"/>
      <c r="Z51" s="58"/>
      <c r="AA51" s="58"/>
      <c r="AB51" s="58"/>
      <c r="AC51" s="58"/>
      <c r="AD51" s="88"/>
      <c r="AF51" s="87" t="b">
        <f>IF(OR(M11="with cache", M11="without cache"), N10, FALSE)</f>
        <v>0</v>
      </c>
      <c r="AG51" t="s">
        <v>103</v>
      </c>
      <c r="AH51" s="58"/>
      <c r="AI51" s="58"/>
      <c r="AJ51" s="58"/>
      <c r="AK51" s="58"/>
      <c r="AL51" s="58"/>
      <c r="AM51" s="58"/>
      <c r="AN51" s="58"/>
      <c r="AO51" s="58"/>
      <c r="AP51" s="88"/>
    </row>
    <row r="52" spans="20:42" x14ac:dyDescent="0.25">
      <c r="T52" s="87" t="b">
        <f>IF(OR(J15="with cache", J15="without cache"), K14, FALSE)</f>
        <v>0</v>
      </c>
      <c r="U52" s="78" t="s">
        <v>105</v>
      </c>
      <c r="V52" s="58"/>
      <c r="W52" s="58"/>
      <c r="X52" s="58"/>
      <c r="Y52" s="58"/>
      <c r="Z52" s="58"/>
      <c r="AA52" s="58"/>
      <c r="AB52" s="58"/>
      <c r="AC52" s="58"/>
      <c r="AD52" s="88"/>
      <c r="AF52" s="87" t="b">
        <f>IF(OR(M15="with cache", M15="without cache"), N14, FALSE)</f>
        <v>0</v>
      </c>
      <c r="AG52" s="93" t="s">
        <v>106</v>
      </c>
      <c r="AH52" s="58"/>
      <c r="AI52" s="58"/>
      <c r="AJ52" s="58"/>
      <c r="AK52" s="58"/>
      <c r="AL52" s="58"/>
      <c r="AM52" s="58"/>
      <c r="AN52" s="58"/>
      <c r="AO52" s="58"/>
      <c r="AP52" s="88"/>
    </row>
    <row r="53" spans="20:42" x14ac:dyDescent="0.25">
      <c r="T53" s="87" t="b">
        <f>IF(OR(J19="with cache", J19="without cache"), K18, FALSE)</f>
        <v>0</v>
      </c>
      <c r="U53" s="58" t="s">
        <v>108</v>
      </c>
      <c r="V53" s="58"/>
      <c r="W53" s="58"/>
      <c r="X53" s="58"/>
      <c r="Y53" s="58"/>
      <c r="Z53" s="58"/>
      <c r="AA53" s="58"/>
      <c r="AB53" s="58"/>
      <c r="AC53" s="58"/>
      <c r="AD53" s="88"/>
      <c r="AF53" s="87" t="b">
        <f>IF(OR(M19="with cache", M19="without cache"), N18, FALSE)</f>
        <v>0</v>
      </c>
      <c r="AG53" t="s">
        <v>109</v>
      </c>
      <c r="AH53" s="58"/>
      <c r="AI53" s="58"/>
      <c r="AJ53" s="58"/>
      <c r="AK53" s="58"/>
      <c r="AL53" s="58"/>
      <c r="AM53" s="58"/>
      <c r="AN53" s="58"/>
      <c r="AO53" s="58"/>
      <c r="AP53" s="88"/>
    </row>
    <row r="54" spans="20:42" x14ac:dyDescent="0.25">
      <c r="T54" s="87" t="b">
        <f>IF(OR(J23="with cache", J23="without cache"), K22, FALSE)</f>
        <v>0</v>
      </c>
      <c r="U54" s="58" t="s">
        <v>111</v>
      </c>
      <c r="V54" s="58"/>
      <c r="W54" s="58"/>
      <c r="X54" s="58"/>
      <c r="Y54" s="58"/>
      <c r="Z54" s="58"/>
      <c r="AA54" s="58"/>
      <c r="AB54" s="58"/>
      <c r="AC54" s="58"/>
      <c r="AD54" s="88"/>
      <c r="AF54" s="87" t="b">
        <f>IF(OR(M23="with cache", M23="without cache"), N22, FALSE)</f>
        <v>0</v>
      </c>
      <c r="AG54" t="s">
        <v>112</v>
      </c>
      <c r="AH54" s="58"/>
      <c r="AI54" s="58"/>
      <c r="AJ54" s="58"/>
      <c r="AK54" s="58"/>
      <c r="AL54" s="58"/>
      <c r="AM54" s="58"/>
      <c r="AN54" s="58"/>
      <c r="AO54" s="58"/>
      <c r="AP54" s="88"/>
    </row>
    <row r="55" spans="20:42" x14ac:dyDescent="0.25">
      <c r="T55" s="87" t="b">
        <f>IF(OR(J27="with cache", J27="without cache"), K26, FALSE)</f>
        <v>0</v>
      </c>
      <c r="U55" s="58" t="s">
        <v>114</v>
      </c>
      <c r="V55" s="58"/>
      <c r="W55" s="58"/>
      <c r="X55" s="58"/>
      <c r="Y55" s="58"/>
      <c r="Z55" s="58"/>
      <c r="AA55" s="58"/>
      <c r="AB55" s="58"/>
      <c r="AC55" s="58"/>
      <c r="AD55" s="88"/>
      <c r="AF55" s="87" t="b">
        <f>IF(OR(M27="with cache", M27="without cache"), N26, FALSE)</f>
        <v>0</v>
      </c>
      <c r="AG55" t="s">
        <v>115</v>
      </c>
      <c r="AH55" s="58"/>
      <c r="AI55" s="58"/>
      <c r="AJ55" s="58"/>
      <c r="AK55" s="58"/>
      <c r="AL55" s="58"/>
      <c r="AM55" s="58"/>
      <c r="AN55" s="58"/>
      <c r="AO55" s="58"/>
      <c r="AP55" s="88"/>
    </row>
    <row r="56" spans="20:42" x14ac:dyDescent="0.25">
      <c r="T56" s="87" t="b">
        <f>IF(OR(J31="with cache", J31="without cache"), K30, FALSE)</f>
        <v>0</v>
      </c>
      <c r="U56" s="58" t="s">
        <v>117</v>
      </c>
      <c r="V56" s="58"/>
      <c r="W56" s="58"/>
      <c r="X56" s="58"/>
      <c r="Y56" s="58"/>
      <c r="Z56" s="58"/>
      <c r="AA56" s="58"/>
      <c r="AB56" s="58"/>
      <c r="AC56" s="58"/>
      <c r="AD56" s="88"/>
      <c r="AF56" s="87" t="b">
        <f>IF(OR(M31="with cache", M31="without cache"), N30, FALSE)</f>
        <v>0</v>
      </c>
      <c r="AG56" t="s">
        <v>118</v>
      </c>
      <c r="AH56" s="58"/>
      <c r="AI56" s="58"/>
      <c r="AJ56" s="58"/>
      <c r="AK56" s="58"/>
      <c r="AL56" s="58"/>
      <c r="AM56" s="58"/>
      <c r="AN56" s="58"/>
      <c r="AO56" s="58"/>
      <c r="AP56" s="88"/>
    </row>
    <row r="57" spans="20:42" x14ac:dyDescent="0.25">
      <c r="T57" s="100" t="b">
        <f>IF(OR(J35="with cache", J35="without cache"), K34, FALSE)</f>
        <v>0</v>
      </c>
      <c r="U57" s="95" t="s">
        <v>120</v>
      </c>
      <c r="V57" s="95"/>
      <c r="W57" s="95"/>
      <c r="X57" s="95"/>
      <c r="Y57" s="95"/>
      <c r="Z57" s="95"/>
      <c r="AA57" s="95"/>
      <c r="AB57" s="95"/>
      <c r="AC57" s="95"/>
      <c r="AD57" s="96"/>
      <c r="AF57" s="100" t="b">
        <f>IF(OR(M35="with cache", M35="without cache"), N34, FALSE)</f>
        <v>0</v>
      </c>
      <c r="AG57" s="98" t="s">
        <v>121</v>
      </c>
      <c r="AH57" s="95"/>
      <c r="AI57" s="95"/>
      <c r="AJ57" s="95"/>
      <c r="AK57" s="95"/>
      <c r="AL57" s="95"/>
      <c r="AM57" s="95"/>
      <c r="AN57" s="95"/>
      <c r="AO57" s="95"/>
      <c r="AP57" s="96"/>
    </row>
    <row r="61" spans="20:37" x14ac:dyDescent="0.25">
      <c r="T61" s="101" t="str">
        <f t="array" ref="T61">"The best recorded performance score was in the " &amp;
IF(Formula_Sheet!V39&gt;=Formula_Sheet!V50,
_xlfn.TEXTJOIN(", ", TRUE, _xlfn.MAP(_xlfn.ANCHORARRAY(AA39),_xlfn.ANCHORARRAY( AC39),_xlfn.ANCHORARRAY( AD39), _xlfn.LAMBDA(_xlpm.name,_xlpm.device,_xlpm.cache, _xlpm.name &amp; " page for " &amp; _xlpm.device &amp; " devices " &amp; _xlpm.cache))),
_xlfn.TEXTJOIN(", ", TRUE, _xlfn.MAP(_xlfn.ANCHORARRAY(AA50),_xlfn.ANCHORARRAY( AC50),_xlfn.ANCHORARRAY( AD50), _xlfn.LAMBDA(_xlpm.name,_xlpm.device,_xlpm.cache, _xlpm.name &amp; " page for " &amp; _xlpm.device &amp; " devices " &amp; _xlpm.cache))))</f>
        <v>The best recorded performance score was in the Home page for Desktop devices with and without cache</v>
      </c>
      <c r="U61" s="102"/>
      <c r="V61" s="102"/>
      <c r="W61" s="102"/>
      <c r="X61" s="102"/>
      <c r="Y61" s="102"/>
      <c r="AF61" s="101" t="str">
        <f t="array" ref="AF61">"The worst recorded performance score was in the " &amp;
IF(Formula_Sheet!AH39&lt;=Formula_Sheet!AH50,
_xlfn.TEXTJOIN(", ", TRUE, _xlfn.MAP(_xlfn.ANCHORARRAY(AM39),_xlfn.ANCHORARRAY( AO39),_xlfn.ANCHORARRAY( AP39), _xlfn.LAMBDA(_xlpm.name,_xlpm.device,_xlpm.cache, _xlpm.name &amp; " page for " &amp; _xlpm.device &amp; " devices " &amp; _xlpm.cache))),
_xlfn.TEXTJOIN(", ", TRUE, _xlfn.MAP(_xlfn.ANCHORARRAY(AM50),_xlfn.ANCHORARRAY( AO50),_xlfn.ANCHORARRAY( AP50), _xlfn.LAMBDA(_xlpm.name,_xlpm.device,_xlpm.cache, _xlpm.name &amp; " page for " &amp; _xlpm.device &amp; " devices " &amp; _xlpm.cache))))</f>
        <v>The worst recorded performance score was in the Home page for Desktop devices with and without cache</v>
      </c>
      <c r="AG61" s="101"/>
      <c r="AH61" s="101"/>
      <c r="AI61" s="101"/>
      <c r="AJ61" s="101"/>
      <c r="AK61" s="101"/>
    </row>
    <row r="62" spans="20:32" x14ac:dyDescent="0.25">
      <c r="T62" t="str">
        <f>", at " &amp; IF(Formula_Sheet!V39&gt;=Formula_Sheet!V50, Formula_Sheet!V39, Formula_Sheet!V50)</f>
        <v>, at 0</v>
      </c>
      <c r="AF62" t="str">
        <f>", at " &amp; IF(Formula_Sheet!AH39&lt;=Formula_Sheet!AH50, Formula_Sheet!AH39, Formula_Sheet!AH50)</f>
        <v>, at 0</v>
      </c>
    </row>
    <row r="64" spans="20:32" x14ac:dyDescent="0.25">
      <c r="T64" t="str">
        <f>"Refer to " &amp;IF(Formula_Sheet!V39&gt;=Formula_Sheet!V50, Formula_Sheet!Z39, Formula_Sheet!Z50)&amp; " tab for the best insight, links for full diagnostic readings and recommendations for improvement."</f>
        <v>Refer to 01_Home tab for the best insight, links for full diagnostic readings and recommendations for improvement.</v>
      </c>
      <c r="AF64" t="str">
        <f>"Refer to " &amp;IF(Formula_Sheet!AH39&lt;=Formula_Sheet!AH50, Formula_Sheet!AL39, Formula_Sheet!AL50)&amp; " tab for the best insight, links for full diagnostic readings and recommendations for improvement."</f>
        <v>Refer to 01_Home tab for the best insight, links for full diagnostic readings and recommendations for improvement.</v>
      </c>
    </row>
  </sheetData>
  <mergeCells count="6">
    <mergeCell ref="T4:AB4"/>
    <mergeCell ref="AF4:AN4"/>
    <mergeCell ref="T37:AD37"/>
    <mergeCell ref="AF37:AP37"/>
    <mergeCell ref="T48:AD48"/>
    <mergeCell ref="AF48:AP4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Summary</vt:lpstr>
      <vt:lpstr>01_Home</vt:lpstr>
      <vt:lpstr>02_Testing</vt:lpstr>
      <vt:lpstr>03_About</vt:lpstr>
      <vt:lpstr>04_News</vt:lpstr>
      <vt:lpstr>05_Careers</vt:lpstr>
      <vt:lpstr>06_Contact</vt:lpstr>
      <vt:lpstr>07_Privacy</vt:lpstr>
      <vt:lpstr>08_Game Testing</vt:lpstr>
      <vt:lpstr>Formula_Sheet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Nolan Pecho;Von Webster Labajo</dc:creator>
  <dc:title/>
  <dc:subject/>
  <dc:description/>
  <cp:keywords/>
  <cp:category/>
  <cp:lastModifiedBy>Von Webster D. Labajo</cp:lastModifiedBy>
  <cp:contentStatus/>
  <dcterms:created xsi:type="dcterms:W3CDTF">2024-11-27T02:28:50Z</dcterms:created>
  <dcterms:modified xsi:type="dcterms:W3CDTF">2025-08-26T08:32:17Z</dcterms:modified>
</cp:coreProperties>
</file>