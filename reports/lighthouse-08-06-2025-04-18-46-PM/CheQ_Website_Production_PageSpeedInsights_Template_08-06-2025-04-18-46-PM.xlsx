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</sheets>
  <definedNames>
    <definedName name="cacheRange">Summary!$J$7:$K$7,Summary!$J$11:$K$11,Summary!$J$15:$K$15,Summary!$J$19:$K$19,Summary!$J$23:$K$23,Summary!$J$27:$K$27,Summary!$J$31:$K$31</definedName>
    <definedName name="performanceRange">Summary!$L$6:$L$35</definedName>
    <definedName name="performanceValueRange">Summary!$L$6:$L$7,Summary!$L$10:$L$11,Summary!$L$14:$L$15,Summary!$L$18:$L$19,Summary!$L$22:$L$23,Summary!$L$26:$L$27,Summary!$L$30:$L$31</definedName>
  </definedNames>
  <calcPr calcId="171027"/>
</workbook>
</file>

<file path=xl/sharedStrings.xml><?xml version="1.0" encoding="utf-8"?>
<sst xmlns="http://schemas.openxmlformats.org/spreadsheetml/2006/main" count="213" uniqueCount="55">
  <si>
    <t>PageSpeed Insights</t>
  </si>
  <si>
    <t>Production</t>
  </si>
  <si>
    <t xml:space="preserve">Performance </t>
  </si>
  <si>
    <t>Page</t>
  </si>
  <si>
    <t>Device</t>
  </si>
  <si>
    <t>With Cache</t>
  </si>
  <si>
    <t>Without Cache</t>
  </si>
  <si>
    <t>Best</t>
  </si>
  <si>
    <t>Worst</t>
  </si>
  <si>
    <t>Performance Value</t>
  </si>
  <si>
    <t>Device Selector</t>
  </si>
  <si>
    <t>Cell with Highest</t>
  </si>
  <si>
    <t>Cell with Lowest</t>
  </si>
  <si>
    <t>Device:</t>
  </si>
  <si>
    <t>01_Home</t>
  </si>
  <si>
    <t>Desktop</t>
  </si>
  <si>
    <t>Cache:</t>
  </si>
  <si>
    <t>Mobile</t>
  </si>
  <si>
    <t>Aug 6, 2025, 4:18:58 PM</t>
  </si>
  <si>
    <t>Aug 6, 2025, 4:20:16 PM</t>
  </si>
  <si>
    <t>02_Testing</t>
  </si>
  <si>
    <t>03_About</t>
  </si>
  <si>
    <t>04_News</t>
  </si>
  <si>
    <t>05_Careers</t>
  </si>
  <si>
    <t>06_Contact</t>
  </si>
  <si>
    <t>07_Privacy</t>
  </si>
  <si>
    <t>08_Game Testing</t>
  </si>
  <si>
    <t>0 to 49</t>
  </si>
  <si>
    <t xml:space="preserve"> Poor</t>
  </si>
  <si>
    <t>Name</t>
  </si>
  <si>
    <t>50 to 89</t>
  </si>
  <si>
    <t>Needs Improvement</t>
  </si>
  <si>
    <t>Record performance value:</t>
  </si>
  <si>
    <t>90 to 100</t>
  </si>
  <si>
    <t>Good</t>
  </si>
  <si>
    <t>Record performance value location:</t>
  </si>
  <si>
    <t>With and Without Cache Value Location:</t>
  </si>
  <si>
    <t>Cache Value:</t>
  </si>
  <si>
    <t>Device Location:</t>
  </si>
  <si>
    <t>Page Location:</t>
  </si>
  <si>
    <t>Page Value:</t>
  </si>
  <si>
    <t>Trimmed Value:</t>
  </si>
  <si>
    <t>Best Insight</t>
  </si>
  <si>
    <t>URL:</t>
  </si>
  <si>
    <t>Diagnostic:</t>
  </si>
  <si>
    <t>Defer offscreen images</t>
  </si>
  <si>
    <t>Recommendation:</t>
  </si>
  <si>
    <t>Learn how to defer offscreen images</t>
  </si>
  <si>
    <t>Worst Insight</t>
  </si>
  <si>
    <t>https://www.cheqsystems.com/testing-services — Desktop-Normal</t>
  </si>
  <si>
    <t>https://www.cheqsystems.com/testing-services — Desktop-Incognito</t>
  </si>
  <si>
    <t>https://www.cheqsystems.com/testing-services — Mobile-Normal</t>
  </si>
  <si>
    <t>https://www.cheqsystems.com/testing-services — Mobile-Incognito</t>
  </si>
  <si>
    <t xml:space="preserve">Largest Contentful Paint element — 5,910 ms </t>
  </si>
  <si>
    <t>Learn more about the Largest Contentful Paint element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</si>
</sst>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800]dddd, mmmm dd, yyyy"/>
    <numFmt numFmtId="165" formatCode="[$-409]mmmm d, yyyy;@"/>
  </numFmts>
  <fonts count="8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harset val="1"/>
      <color rgb="FF000000"/>
      <sz val="11"/>
      <name val="Aptos Narrow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0" fontId="1" fillId="0" borderId="5" xfId="0" applyFont="1" applyBorder="1"/>
    <xf numFmtId="20" fontId="1" fillId="2" borderId="4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top"/>
    </xf>
    <xf numFmtId="0" fontId="1" fillId="4" borderId="5" xfId="0" applyFont="1" applyFill="1" applyBorder="1" applyAlignment="1">
      <alignment horizontal="left" vertical="top"/>
    </xf>
    <xf numFmtId="1" fontId="1" fillId="3" borderId="5" xfId="0" applyNumberFormat="1" applyFont="1" applyFill="1" applyBorder="1" applyAlignment="1">
      <alignment horizontal="left" vertical="top"/>
    </xf>
    <xf numFmtId="1" fontId="1" fillId="0" borderId="0" xfId="0" applyNumberFormat="1" applyFont="1" applyAlignment="1">
      <alignment horizontal="left" vertical="top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/>
    <xf numFmtId="1" fontId="3" fillId="5" borderId="9" xfId="0" applyNumberFormat="1" applyFont="1" applyFill="1" applyBorder="1" applyAlignment="1">
      <alignment horizontal="center"/>
    </xf>
    <xf numFmtId="0" fontId="1" fillId="2" borderId="10" xfId="0" applyFont="1" applyFill="1" applyBorder="1" applyAlignment="1">
      <alignment horizontal="left" vertical="top" wrapText="1"/>
    </xf>
    <xf numFmtId="1" fontId="1" fillId="4" borderId="5" xfId="0" applyNumberFormat="1" applyFont="1" applyFill="1" applyBorder="1" applyAlignment="1">
      <alignment horizontal="left" vertical="top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/>
    <xf numFmtId="0" fontId="1" fillId="2" borderId="13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1" fillId="2" borderId="14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top" wrapText="1"/>
    </xf>
    <xf numFmtId="0" fontId="1" fillId="2" borderId="15" xfId="0" applyFont="1" applyFill="1" applyBorder="1" applyAlignment="1">
      <alignment horizontal="left"/>
    </xf>
    <xf numFmtId="0" fontId="5" fillId="6" borderId="1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top"/>
    </xf>
    <xf numFmtId="0" fontId="1" fillId="2" borderId="16" xfId="0" applyFont="1" applyFill="1" applyBorder="1" applyAlignment="1">
      <alignment horizontal="left" vertical="center"/>
    </xf>
    <xf numFmtId="0" fontId="1" fillId="7" borderId="16" xfId="0" applyFont="1" applyFill="1" applyBorder="1" applyAlignment="1">
      <alignment horizontal="center" wrapText="1"/>
    </xf>
    <xf numFmtId="1" fontId="1" fillId="0" borderId="5" xfId="0" applyNumberFormat="1" applyFont="1" applyBorder="1" applyAlignment="1">
      <alignment horizontal="left" vertical="top"/>
    </xf>
    <xf numFmtId="0" fontId="1" fillId="2" borderId="17" xfId="0" applyFont="1" applyFill="1" applyBorder="1" applyAlignment="1">
      <alignment horizontal="left"/>
    </xf>
    <xf numFmtId="0" fontId="1" fillId="5" borderId="17" xfId="0" applyFont="1" applyFill="1" applyBorder="1" applyAlignment="1">
      <alignment horizontal="center"/>
    </xf>
    <xf numFmtId="165" fontId="1" fillId="0" borderId="18" xfId="0" applyNumberFormat="1" applyFont="1" applyBorder="1" applyAlignment="1">
      <alignment horizontal="center"/>
    </xf>
    <xf numFmtId="165" fontId="1" fillId="0" borderId="19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/>
    <xf numFmtId="0" fontId="6" fillId="0" borderId="4" xfId="0" applyFont="1" applyBorder="1"/>
    <xf numFmtId="0" fontId="2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3" xfId="0" applyFont="1" applyBorder="1"/>
    <xf numFmtId="0" fontId="2" fillId="0" borderId="1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/>
    <xf numFmtId="0" fontId="1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/>
    <xf numFmtId="0" fontId="6" fillId="2" borderId="14" xfId="0" applyFont="1" applyFill="1" applyBorder="1"/>
    <xf numFmtId="0" fontId="6" fillId="2" borderId="2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0" xfId="0" applyFont="1" applyAlignment="1">
      <alignment vertical="top" wrapText="1"/>
    </xf>
    <xf numFmtId="0" fontId="1" fillId="2" borderId="1" xfId="0" applyFont="1" applyFill="1" applyBorder="1"/>
    <xf numFmtId="0" fontId="1" fillId="2" borderId="14" xfId="0" applyFont="1" applyFill="1" applyBorder="1"/>
    <xf numFmtId="0" fontId="1" fillId="2" borderId="2" xfId="0" applyFont="1" applyFill="1" applyBorder="1"/>
    <xf numFmtId="0" fontId="6" fillId="0" borderId="1" xfId="0" applyFont="1" applyBorder="1"/>
    <xf numFmtId="0" fontId="6" fillId="0" borderId="14" xfId="0" applyFont="1" applyBorder="1" applyAlignment="1">
      <alignment horizontal="left"/>
    </xf>
    <xf numFmtId="0" fontId="2" fillId="0" borderId="0" xfId="0" applyFont="1"/>
    <xf numFmtId="0" fontId="6" fillId="0" borderId="26" xfId="0" applyFont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7" fillId="0" borderId="0" xfId="0" applyFont="1"/>
  </cellXfs>
  <cellStyles count="1">
    <cellStyle name="Normal" xfId="0" builtinId="0"/>
  </cellStyles>
  <dxfs count="16">
    <dxf>
      <font>
        <color theme="0"/>
      </font>
      <fill>
        <patternFill>
          <bgColor rgb="FFFF0000"/>
        </patternFill>
      </fill>
    </dxf>
    <dxf>
      <font/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/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/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/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/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/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/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/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4</xdr:col>
      <xdr:colOff>6534150</xdr:colOff>
      <xdr:row>19</xdr:row>
      <xdr:rowOff>28575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4</xdr:col>
      <xdr:colOff>6534150</xdr:colOff>
      <xdr:row>19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2</xdr:col>
      <xdr:colOff>0</xdr:colOff>
      <xdr:row>28</xdr:row>
      <xdr:rowOff>0</xdr:rowOff>
    </xdr:from>
    <xdr:ext cx="8778240" cy="493776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4</xdr:col>
      <xdr:colOff>6534150</xdr:colOff>
      <xdr:row>19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4</xdr:col>
      <xdr:colOff>6534150</xdr:colOff>
      <xdr:row>19</xdr:row>
      <xdr:rowOff>9525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4</xdr:col>
      <xdr:colOff>6534150</xdr:colOff>
      <xdr:row>19</xdr:row>
      <xdr:rowOff>9525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4</xdr:col>
      <xdr:colOff>6534150</xdr:colOff>
      <xdr:row>19</xdr:row>
      <xdr:rowOff>9525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4</xdr:col>
      <xdr:colOff>6534150</xdr:colOff>
      <xdr:row>19</xdr:row>
      <xdr:rowOff>19050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4</xdr:col>
      <xdr:colOff>6534150</xdr:colOff>
      <xdr:row>19</xdr:row>
      <xdr:rowOff>9525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lr" TargetMode="External"/><Relationship Id="rId2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file:///C:/Users/VonWebsterDLabajo/VS%20Code/Private-Lighthouse-Automation/reports/lighthouse-08-06-2025-04-18-46-PM/html/www_cheqsystems_com_testing-services-Desktop-Normal.report.html" TargetMode="External"/><Relationship Id="rId2" Type="http://schemas.openxmlformats.org/officeDocument/2006/relationships/hyperlink" Target="file:///C:/Users/VonWebsterDLabajo/VS%20Code/Private-Lighthouse-Automation/reports/lighthouse-08-06-2025-04-18-46-PM/html/www_cheqsystems_com_testing-services-Desktop-Incognito.report.html" TargetMode="External"/><Relationship Id="rId3" Type="http://schemas.openxmlformats.org/officeDocument/2006/relationships/hyperlink" Target="file:///C:/Users/VonWebsterDLabajo/VS%20Code/Private-Lighthouse-Automation/reports/lighthouse-08-06-2025-04-18-46-PM/html/www_cheqsystems_com_testing-services-Mobile-Normal.report.html" TargetMode="External"/><Relationship Id="rId4" Type="http://schemas.openxmlformats.org/officeDocument/2006/relationships/hyperlink" Target="file:///C:/Users/VonWebsterDLabajo/VS%20Code/Private-Lighthouse-Automation/reports/lighthouse-08-06-2025-04-18-46-PM/html/www_cheqsystems_com_testing-services-Mobile-Incognito.report.html" TargetMode="External"/><Relationship Id="rId5" Type="http://schemas.openxmlformats.org/officeDocument/2006/relationships/hyperlink" Target="https://developer.chrome.com/docs/lighthouse/performance/offscreen-images/?utm_source=lighthouse&amp;utm_medium=lr" TargetMode="External"/><Relationship Id="rId6" Type="http://schemas.openxmlformats.org/officeDocument/2006/relationships/hyperlink" Target="https://developer.chrome.com/docs/lighthouse/performance/lighthouse-largest-contentful-paint/?utm_source=lighthouse&amp;utm_medium=cli" TargetMode="External"/><Relationship Id="rId7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lr" TargetMode="External"/><Relationship Id="rId2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lr" TargetMode="External"/><Relationship Id="rId2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lr" TargetMode="External"/><Relationship Id="rId2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lr" TargetMode="External"/><Relationship Id="rId2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lr" TargetMode="External"/><Relationship Id="rId2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lr" TargetMode="Externa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01.44140625" customWidth="1"/>
    <col min="8" max="8" width="4.6640625" customWidth="1"/>
    <col min="9" max="9" width="33.33203125" hidden="1" customWidth="1"/>
    <col min="10" max="10" width="24.88671875" style="1" hidden="1" customWidth="1"/>
    <col min="11" max="11" width="31.33203125" style="1" hidden="1" customWidth="1"/>
    <col min="12" max="12" width="29.33203125" style="1" hidden="1" customWidth="1"/>
    <col min="13" max="13" width="14.109375" style="1" hidden="1" customWidth="1"/>
    <col min="14" max="14" width="16.109375" style="1" hidden="1" customWidth="1"/>
    <col min="15" max="15" width="15.5546875" style="1" hidden="1" customWidth="1"/>
    <col min="16" max="16" width="21.109375" customWidth="1"/>
  </cols>
  <sheetData>
    <row r="1" ht="15" customHeight="1" x14ac:dyDescent="0.25"/>
    <row r="2" ht="15" customHeight="1" spans="4:6" x14ac:dyDescent="0.25">
      <c r="D2" s="2" t="s">
        <v>0</v>
      </c>
      <c r="E2" s="3"/>
      <c r="F2" s="4"/>
    </row>
    <row r="3" ht="15" customHeight="1" spans="1:10" x14ac:dyDescent="0.25">
      <c r="A3" s="5"/>
      <c r="B3" s="6" t="s">
        <v>1</v>
      </c>
      <c r="C3" s="7"/>
      <c r="D3" s="8" t="s">
        <v>2</v>
      </c>
      <c r="E3" s="9"/>
      <c r="F3" s="4"/>
      <c r="J3" s="1"/>
    </row>
    <row r="4" ht="15" customHeight="1" spans="2:6" x14ac:dyDescent="0.25">
      <c r="B4" s="10" t="s">
        <v>3</v>
      </c>
      <c r="C4" s="10" t="s">
        <v>4</v>
      </c>
      <c r="D4" s="8" t="s">
        <v>5</v>
      </c>
      <c r="E4" s="11" t="s">
        <v>6</v>
      </c>
      <c r="F4" s="4"/>
    </row>
    <row r="5" ht="15" customHeight="1" spans="2:15" x14ac:dyDescent="0.25">
      <c r="B5" s="10"/>
      <c r="C5" s="10"/>
      <c r="D5" s="4"/>
      <c r="F5" s="4"/>
      <c r="J5" s="12" t="s">
        <v>7</v>
      </c>
      <c r="K5" s="13" t="s">
        <v>8</v>
      </c>
      <c r="L5" s="14" t="s">
        <v>9</v>
      </c>
      <c r="M5" t="s">
        <v>10</v>
      </c>
      <c r="N5" t="s">
        <v>11</v>
      </c>
      <c r="O5" t="s">
        <v>12</v>
      </c>
    </row>
    <row r="6" ht="15" customHeight="1" spans="2:15" x14ac:dyDescent="0.25">
      <c r="B6" s="10"/>
      <c r="C6" s="10"/>
      <c r="D6" s="15"/>
      <c r="E6" s="16"/>
      <c r="F6" s="4"/>
      <c r="G6" s="17" t="str">
        <f>"The best recorded performance score was in "&amp;J6&amp;" devices "&amp; J7 &amp;",  at  "&amp; L6
&amp;CHAR(10)&amp;
"The worst recorded performance score was in "&amp; K6 &amp;" devices "&amp; K7 &amp;", at "&amp;L7
&amp;CHAR(10)&amp;
"Refer to "&amp;B7&amp;"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01_Home tab for the best and worst insight, links for full diagnostic readings and recommendations for improvement.</v>
      </c>
      <c r="I6" s="14" t="s">
        <v>13</v>
      </c>
      <c r="J6" s="18" t="str">
        <f t="array" ref="J6">INDIRECT(M6)</f>
        <v>Desktop</v>
      </c>
      <c r="K6" s="19" t="str">
        <f t="array" ref="K6">INDIRECT(M7)</f>
        <v>Desktop</v>
      </c>
      <c r="L6" s="20">
        <f>MAX(D7:E8)</f>
        <v>0</v>
      </c>
      <c r="M6" s="1" t="str">
        <f>IF(LEFT(N6,1)="D",
    CHAR(CODE(LEFT(N6,1)) - 1) &amp; MID(N6,2,99),
    CHAR(CODE(LEFT(N6,1)) - 2) &amp; MID(N6,2,99)
)</f>
        <v>C7</v>
      </c>
      <c r="N6" s="21" t="str">
        <f t="array" ref="N6">ADDRESS(MIN(IF(D7:E8=L6,ROW(D7:E8))), MIN(IF(D7:E8=L6,COLUMN(D7:E8))), 4)</f>
        <v>D7</v>
      </c>
      <c r="O6" s="21" t="str">
        <f t="array" ref="O6">ADDRESS(MIN(IF(D7:E8=L7,ROW(D7:E8))), MIN(IF(D7:E8=L7,COLUMN(D7:E8))), 4)</f>
        <v>D7</v>
      </c>
    </row>
    <row r="7" ht="15" customHeight="1" spans="2:15" x14ac:dyDescent="0.25">
      <c r="B7" s="22" t="s">
        <v>14</v>
      </c>
      <c r="C7" s="23" t="s">
        <v>15</v>
      </c>
      <c r="D7" s="24"/>
      <c r="E7" s="24"/>
      <c r="F7" s="4"/>
      <c r="G7" s="25"/>
      <c r="I7" s="14" t="s">
        <v>16</v>
      </c>
      <c r="J7" s="18" t="str">
        <f>IF(J6="Desktop",IF(D7=E7,"with and without cache",(IF(D7&gt;E7,"with cache","without cache"))),IF(D8=E8,"with and without cache",(IF(D8&gt;E8,"with cache","without cache"))))</f>
        <v>with and without cache</v>
      </c>
      <c r="K7" s="19" t="str">
        <f>IF(K6="Desktop",IF(D7=E7,"with and without cache",IF(D7&lt;E7,"with cache","without cache")),IF(D8=E8,"with and without cache",IF(D8&lt;E8,"with cache","without cache")))</f>
        <v>with and without cache</v>
      </c>
      <c r="L7" s="26">
        <f>MIN(D7:E8)</f>
        <v>0</v>
      </c>
      <c r="M7" s="21" t="str">
        <f>IF(LEFT(O6,1)="D",
    CHAR(CODE(LEFT(O6,1)) - 1) &amp; MID(O6,2,99),
    CHAR(CODE(LEFT(O6,1)) - 2) &amp; MID(O6,2,99)
)</f>
        <v>C7</v>
      </c>
      <c r="N7" s="21"/>
      <c r="O7" s="21"/>
    </row>
    <row r="8" ht="15" customHeight="1" spans="2:15" x14ac:dyDescent="0.25">
      <c r="B8" s="27"/>
      <c r="C8" s="28" t="s">
        <v>17</v>
      </c>
      <c r="D8" s="24"/>
      <c r="E8" s="24"/>
      <c r="F8" s="4"/>
      <c r="G8" s="29"/>
      <c r="M8" s="21"/>
      <c r="N8" s="21"/>
      <c r="O8" s="21"/>
    </row>
    <row r="9" ht="15" customHeight="1" spans="2:12" x14ac:dyDescent="0.25">
      <c r="B9" s="30"/>
      <c r="C9" s="4"/>
      <c r="D9" s="4"/>
      <c r="E9" s="4"/>
      <c r="F9" s="4"/>
      <c r="G9" s="4"/>
      <c r="L9" s="14" t="s">
        <v>9</v>
      </c>
    </row>
    <row r="10" ht="15" customHeight="1" spans="2:15" x14ac:dyDescent="0.25">
      <c r="B10" s="10"/>
      <c r="C10" s="10"/>
      <c r="D10" s="15" t="s">
        <v>18</v>
      </c>
      <c r="E10" s="15" t="s">
        <v>19</v>
      </c>
      <c r="F10" s="4"/>
      <c r="G10" s="17" t="str">
        <f>"The best recorded performance score was in "&amp;J10&amp;" devices "&amp; J11 &amp;",  at  "&amp; L10
&amp;CHAR(10)&amp;
"The worst recorded performance score was in "&amp; K10 &amp;" devices "&amp; K11 &amp;", at "&amp;L11
&amp;CHAR(10)&amp;
"Refer to "&amp;B11&amp;"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02_Testing tab for the best and worst insight, links for full diagnostic readings and recommendations for improvement.</v>
      </c>
      <c r="I10" s="14" t="s">
        <v>13</v>
      </c>
      <c r="J10" s="18" t="str">
        <f t="array" ref="J10">INDIRECT(M10)</f>
        <v>Desktop</v>
      </c>
      <c r="K10" s="19" t="str">
        <f t="array" ref="K10">INDIRECT(M11)</f>
        <v>Desktop</v>
      </c>
      <c r="L10" s="20">
        <f>MAX(D11:E12)</f>
        <v>0</v>
      </c>
      <c r="M10" s="1" t="str">
        <f>IF(LEFT(N10,1)="D",
    CHAR(CODE(LEFT(N10,1)) - 1) &amp; MID(N10,2,99),
    CHAR(CODE(LEFT(N10,1)) - 2) &amp; MID(N10,2,99)
)</f>
        <v>C11</v>
      </c>
      <c r="N10" s="21" t="str">
        <f t="array" ref="N10">ADDRESS(MIN(IF(D11:E12=L10,ROW(D11:E12))), MIN(IF(D11:E12=L10,COLUMN(D11:E12))), 4)</f>
        <v>D11</v>
      </c>
      <c r="O10" s="21" t="str">
        <f t="array" ref="O10">ADDRESS(MIN(IF(D11:E12=L11,ROW(D11:E12))), MIN(IF(D11:E12=L11,COLUMN(D11:E12))), 4)</f>
        <v>D11</v>
      </c>
    </row>
    <row r="11" ht="15" customHeight="1" spans="2:15" x14ac:dyDescent="0.25">
      <c r="B11" s="22" t="s">
        <v>20</v>
      </c>
      <c r="C11" s="23" t="s">
        <v>15</v>
      </c>
      <c r="D11" s="24">
        <v>80</v>
      </c>
      <c r="E11" s="24">
        <v>84</v>
      </c>
      <c r="G11" s="25"/>
      <c r="I11" s="14" t="s">
        <v>16</v>
      </c>
      <c r="J11" s="18" t="str">
        <f>IF(J10="Desktop",IF(D11=E11,"with and without cache",(IF(D11&gt;E11,"with cache","without cache"))),IF(D12=E12,"with and without cache",(IF(D12&gt;E12,"with cache","without cache"))))</f>
        <v>with and without cache</v>
      </c>
      <c r="K11" s="19" t="str">
        <f>IF(K10="Desktop",IF(D11=E11,"with and without cache",IF(D11&lt;E11,"with cache","without cache")),IF(D12=E12,"with and without cache",IF(D12&lt;E12,"with cache","without cache")))</f>
        <v>with and without cache</v>
      </c>
      <c r="L11" s="26">
        <f>MIN(D11:E12)</f>
        <v>0</v>
      </c>
      <c r="M11" s="21" t="str">
        <f>IF(LEFT(O10,1)="D",
    CHAR(CODE(LEFT(O10,1)) - 1) &amp; MID(O10,2,99),
    CHAR(CODE(LEFT(O10,1)) - 2) &amp; MID(O10,2,99)
)</f>
        <v>C11</v>
      </c>
      <c r="N11" s="21"/>
      <c r="O11" s="21"/>
    </row>
    <row r="12" ht="15" customHeight="1" spans="2:15" x14ac:dyDescent="0.25">
      <c r="B12" s="27"/>
      <c r="C12" s="28" t="s">
        <v>17</v>
      </c>
      <c r="D12" s="24">
        <v>54</v>
      </c>
      <c r="E12" s="24">
        <v>75</v>
      </c>
      <c r="F12" s="4"/>
      <c r="G12" s="29"/>
      <c r="L12" s="21"/>
      <c r="M12" s="21"/>
      <c r="N12" s="21"/>
      <c r="O12" s="21"/>
    </row>
    <row r="13" ht="15" customHeight="1" spans="2:12" x14ac:dyDescent="0.25">
      <c r="B13" s="30"/>
      <c r="C13" s="4"/>
      <c r="D13" s="31"/>
      <c r="E13" s="31"/>
      <c r="F13" s="4"/>
      <c r="G13" s="4"/>
      <c r="L13" s="14" t="s">
        <v>9</v>
      </c>
    </row>
    <row r="14" ht="15" customHeight="1" spans="2:15" x14ac:dyDescent="0.25">
      <c r="B14" s="10"/>
      <c r="C14" s="10"/>
      <c r="D14" s="15"/>
      <c r="E14" s="15"/>
      <c r="F14" s="4"/>
      <c r="G14" s="17" t="str">
        <f>"The best recorded performance score was in "&amp;J14&amp;" devices "&amp; J15 &amp;",  at  "&amp; L14
&amp;CHAR(10)&amp;
"The worst recorded performance score was in "&amp; K14 &amp;" devices "&amp; K15 &amp;", at "&amp;L15
&amp;CHAR(10)&amp;
"Refer to "&amp;B15&amp;"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03_About tab for the best and worst insight, links for full diagnostic readings and recommendations for improvement.</v>
      </c>
      <c r="I14" s="14" t="s">
        <v>13</v>
      </c>
      <c r="J14" s="18" t="str">
        <f t="array" ref="J14">INDIRECT(M14)</f>
        <v>Desktop</v>
      </c>
      <c r="K14" s="19" t="str">
        <f t="array" ref="K14">INDIRECT(M15)</f>
        <v>Desktop</v>
      </c>
      <c r="L14" s="20">
        <f>MAX(D15:E16)</f>
        <v>0</v>
      </c>
      <c r="M14" s="1" t="str">
        <f>IF(LEFT(N14,1)="D",
    CHAR(CODE(LEFT(N14,1)) - 1) &amp; MID(N14,2,99),
    CHAR(CODE(LEFT(N14,1)) - 2) &amp; MID(N14,2,99)
)</f>
        <v>C15</v>
      </c>
      <c r="N14" s="21" t="str">
        <f t="array" ref="N14">ADDRESS(MIN(IF(D15:E16=L14,ROW(D15:E16))), MIN(IF(D15:E16=L14,COLUMN(D15:E16))), 4)</f>
        <v>D15</v>
      </c>
      <c r="O14" s="21" t="str">
        <f t="array" ref="O14">ADDRESS(MIN(IF(D15:E16=L15,ROW(D15:E16))), MIN(IF(D15:E16=L15,COLUMN(D15:E16))), 4)</f>
        <v>D15</v>
      </c>
    </row>
    <row r="15" ht="15" customHeight="1" spans="2:15" x14ac:dyDescent="0.25">
      <c r="B15" s="22" t="s">
        <v>21</v>
      </c>
      <c r="C15" s="23" t="s">
        <v>15</v>
      </c>
      <c r="D15" s="24"/>
      <c r="E15" s="24"/>
      <c r="F15" s="4"/>
      <c r="G15" s="25"/>
      <c r="I15" s="14" t="s">
        <v>16</v>
      </c>
      <c r="J15" s="18" t="str">
        <f>IF(J14="Desktop",IF(D15=E15,"with and without cache",(IF(D15&gt;E15,"with cache","without cache"))),IF(D16=E16,"with and without cache",(IF(D16&gt;E16,"with cache","without cache"))))</f>
        <v>with and without cache</v>
      </c>
      <c r="K15" s="19" t="str">
        <f>IF(K14="Desktop",IF(D15=E15,"with and without cache",IF(D15&lt;E15,"with cache","without cache")),IF(D16=E16,"with and without cache",IF(D16&lt;E16,"with cache","without cache")))</f>
        <v>with and without cache</v>
      </c>
      <c r="L15" s="26">
        <f>MIN(D15:E16)</f>
        <v>0</v>
      </c>
      <c r="M15" s="21" t="str">
        <f>IF(LEFT(O14,1)="D",
    CHAR(CODE(LEFT(O14,1)) - 1) &amp; MID(O14,2,99),
    CHAR(CODE(LEFT(O14,1)) - 2) &amp; MID(O14,2,99)
)</f>
        <v>C15</v>
      </c>
      <c r="N15" s="21"/>
      <c r="O15" s="21"/>
    </row>
    <row r="16" ht="15" customHeight="1" spans="2:15" x14ac:dyDescent="0.25">
      <c r="B16" s="27"/>
      <c r="C16" s="28" t="s">
        <v>17</v>
      </c>
      <c r="D16" s="24"/>
      <c r="E16" s="24"/>
      <c r="F16" s="4"/>
      <c r="G16" s="29"/>
      <c r="L16" s="21"/>
      <c r="M16" s="21"/>
      <c r="N16" s="21"/>
      <c r="O16" s="21"/>
    </row>
    <row r="17" ht="15" customHeight="1" spans="2:12" x14ac:dyDescent="0.25">
      <c r="B17" s="30"/>
      <c r="C17" s="4"/>
      <c r="D17" s="31"/>
      <c r="E17" s="31"/>
      <c r="F17" s="4"/>
      <c r="G17" s="4"/>
      <c r="L17" s="14" t="s">
        <v>9</v>
      </c>
    </row>
    <row r="18" ht="15" customHeight="1" spans="2:15" x14ac:dyDescent="0.25">
      <c r="B18" s="10"/>
      <c r="C18" s="10"/>
      <c r="D18" s="15"/>
      <c r="E18" s="15"/>
      <c r="F18" s="4"/>
      <c r="G18" s="17" t="str">
        <f>"The best recorded performance score was in "&amp;J18&amp;" devices "&amp; J19 &amp;",  at  "&amp; L18
&amp;CHAR(10)&amp;
"The worst recorded performance score was in "&amp; K18 &amp;" devices "&amp; K19 &amp;", at "&amp;L19
&amp;CHAR(10)&amp;
"Refer to "&amp;B19&amp;"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04_News tab for the best and worst insight, links for full diagnostic readings and recommendations for improvement.</v>
      </c>
      <c r="I18" s="14" t="s">
        <v>13</v>
      </c>
      <c r="J18" s="18" t="str">
        <f t="array" ref="J18">INDIRECT(M18)</f>
        <v>Desktop</v>
      </c>
      <c r="K18" s="19" t="str">
        <f t="array" ref="K18">INDIRECT(M19)</f>
        <v>Desktop</v>
      </c>
      <c r="L18" s="20">
        <f>MAX(D19:E20)</f>
        <v>0</v>
      </c>
      <c r="M18" s="1" t="str">
        <f>IF(LEFT(N18,1)="D",
    CHAR(CODE(LEFT(N18,1)) - 1) &amp; MID(N18,2,99),
    CHAR(CODE(LEFT(N18,1)) - 2) &amp; MID(N18,2,99)
)</f>
        <v>C19</v>
      </c>
      <c r="N18" s="21" t="str">
        <f t="array" ref="N18">ADDRESS(MIN(IF(D19:E20=L18,ROW(D19:E20))), MIN(IF(D19:E20=L18,COLUMN(D19:E20))), 4)</f>
        <v>D19</v>
      </c>
      <c r="O18" s="21" t="str">
        <f t="array" ref="O18">ADDRESS(MIN(IF(D19:E20=L19,ROW(D19:E20))), MIN(IF(D19:E20=L19,COLUMN(D19:E20))), 4)</f>
        <v>D19</v>
      </c>
    </row>
    <row r="19" ht="15" customHeight="1" spans="2:15" x14ac:dyDescent="0.25">
      <c r="B19" s="22" t="s">
        <v>22</v>
      </c>
      <c r="C19" s="23" t="s">
        <v>15</v>
      </c>
      <c r="D19" s="24"/>
      <c r="E19" s="24"/>
      <c r="F19" s="4"/>
      <c r="G19" s="25"/>
      <c r="I19" s="14" t="s">
        <v>16</v>
      </c>
      <c r="J19" s="18" t="str">
        <f>IF(J18="Desktop",IF(D19=E19,"with and without cache",(IF(D19&gt;E19,"with cache","without cache"))),IF(D20=E20,"with and without cache",(IF(D20&gt;E20,"with cache","without cache"))))</f>
        <v>with and without cache</v>
      </c>
      <c r="K19" s="19" t="str">
        <f>IF(K18="Desktop",IF(D19=E19,"with and without cache",IF(D19&lt;E19,"with cache","without cache")),IF(D20=E20,"with and without cache",IF(D20&lt;E20,"with cache","without cache")))</f>
        <v>with and without cache</v>
      </c>
      <c r="L19" s="26">
        <f>MIN(D19:E20)</f>
        <v>0</v>
      </c>
      <c r="M19" s="21" t="str">
        <f>IF(LEFT(O18,1)="D",
    CHAR(CODE(LEFT(O18,1)) - 1) &amp; MID(O18,2,99),
    CHAR(CODE(LEFT(O18,1)) - 2) &amp; MID(O18,2,99)
)</f>
        <v>C19</v>
      </c>
      <c r="N19" s="21"/>
      <c r="O19" s="21"/>
    </row>
    <row r="20" ht="15" customHeight="1" spans="2:15" x14ac:dyDescent="0.25">
      <c r="B20" s="27"/>
      <c r="C20" s="28" t="s">
        <v>17</v>
      </c>
      <c r="D20" s="24"/>
      <c r="E20" s="24"/>
      <c r="F20" s="4"/>
      <c r="G20" s="29"/>
      <c r="L20" s="21"/>
      <c r="M20" s="21"/>
      <c r="N20" s="21"/>
      <c r="O20" s="21"/>
    </row>
    <row r="21" ht="15" customHeight="1" spans="2:12" x14ac:dyDescent="0.25">
      <c r="B21" s="30"/>
      <c r="C21" s="4"/>
      <c r="D21" s="31"/>
      <c r="E21" s="31"/>
      <c r="F21" s="4"/>
      <c r="G21" s="4"/>
      <c r="L21" s="14" t="s">
        <v>9</v>
      </c>
    </row>
    <row r="22" ht="15" customHeight="1" spans="2:15" x14ac:dyDescent="0.25">
      <c r="B22" s="10"/>
      <c r="C22" s="10"/>
      <c r="D22" s="15"/>
      <c r="E22" s="15"/>
      <c r="F22" s="4"/>
      <c r="G22" s="17" t="str">
        <f>"The best recorded performance score was in "&amp;J22&amp;" devices "&amp; J23 &amp;",  at  "&amp; L22
&amp;CHAR(10)&amp;
"The worst recorded performance score was in "&amp; K22 &amp;" devices "&amp; K23 &amp;", at "&amp;L23
&amp;CHAR(10)&amp;
"Refer to "&amp;B23&amp;"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05_Careers tab for the best and worst insight, links for full diagnostic readings and recommendations for improvement.</v>
      </c>
      <c r="I22" s="14" t="s">
        <v>13</v>
      </c>
      <c r="J22" s="18" t="str">
        <f t="array" ref="J22">INDIRECT(M22)</f>
        <v>Desktop</v>
      </c>
      <c r="K22" s="19" t="str">
        <f t="array" ref="K22">INDIRECT(M23)</f>
        <v>Desktop</v>
      </c>
      <c r="L22" s="20">
        <f>MAX(D23:E24)</f>
        <v>0</v>
      </c>
      <c r="M22" s="1" t="str">
        <f>IF(LEFT(N22,1)="D",
    CHAR(CODE(LEFT(N22,1)) - 1) &amp; MID(N22,2,99),
    CHAR(CODE(LEFT(N22,1)) - 2) &amp; MID(N22,2,99)
)</f>
        <v>C23</v>
      </c>
      <c r="N22" s="21" t="str">
        <f t="array" ref="N22">ADDRESS(MIN(IF(D23:E24=L22,ROW(D23:E24))), MIN(IF(D23:E24=L22,COLUMN(D23:E24))), 4)</f>
        <v>D23</v>
      </c>
      <c r="O22" s="21" t="str">
        <f t="array" ref="O22">ADDRESS(MIN(IF(D23:E24=L23,ROW(D23:E24))), MIN(IF(D23:E24=L23,COLUMN(D23:E24))), 4)</f>
        <v>D23</v>
      </c>
    </row>
    <row r="23" ht="15" customHeight="1" spans="2:15" x14ac:dyDescent="0.25">
      <c r="B23" s="22" t="s">
        <v>23</v>
      </c>
      <c r="C23" s="23" t="s">
        <v>15</v>
      </c>
      <c r="D23" s="24"/>
      <c r="E23" s="24"/>
      <c r="F23" s="4"/>
      <c r="G23" s="25"/>
      <c r="I23" s="14" t="s">
        <v>16</v>
      </c>
      <c r="J23" s="18" t="str">
        <f>IF(J22="Desktop",IF(D23=E23,"with and without cache",(IF(D23&gt;E23,"with cache","without cache"))),IF(D24=E24,"with and without cache",(IF(D24&gt;E24,"with cache","without cache"))))</f>
        <v>with and without cache</v>
      </c>
      <c r="K23" s="19" t="str">
        <f>IF(K22="Desktop",IF(D23=E23,"with and without cache",IF(D23&lt;E23,"with cache","without cache")),IF(D24=E24,"with and without cache",IF(D24&lt;E24,"with cache","without cache")))</f>
        <v>with and without cache</v>
      </c>
      <c r="L23" s="26">
        <f>MIN(D23:E24)</f>
        <v>0</v>
      </c>
      <c r="M23" s="21" t="str">
        <f>IF(LEFT(O22,1)="D",
    CHAR(CODE(LEFT(O22,1)) - 1) &amp; MID(O22,2,99),
    CHAR(CODE(LEFT(O22,1)) - 2) &amp; MID(O22,2,99)
)</f>
        <v>C23</v>
      </c>
      <c r="N23" s="21"/>
      <c r="O23" s="21"/>
    </row>
    <row r="24" ht="15" customHeight="1" spans="2:15" x14ac:dyDescent="0.25">
      <c r="B24" s="27"/>
      <c r="C24" s="28" t="s">
        <v>17</v>
      </c>
      <c r="D24" s="24"/>
      <c r="E24" s="24"/>
      <c r="F24" s="4"/>
      <c r="G24" s="29"/>
      <c r="L24" s="21"/>
      <c r="M24" s="21"/>
      <c r="N24" s="21"/>
      <c r="O24" s="21"/>
    </row>
    <row r="25" ht="15" customHeight="1" spans="2:12" x14ac:dyDescent="0.25">
      <c r="B25" s="30"/>
      <c r="C25" s="4"/>
      <c r="D25" s="31"/>
      <c r="E25" s="32"/>
      <c r="F25" s="4"/>
      <c r="G25" s="4"/>
      <c r="L25" s="14" t="s">
        <v>9</v>
      </c>
    </row>
    <row r="26" ht="15" customHeight="1" spans="2:15" x14ac:dyDescent="0.25">
      <c r="B26" s="10"/>
      <c r="C26" s="10"/>
      <c r="D26" s="15"/>
      <c r="E26" s="15"/>
      <c r="F26" s="4"/>
      <c r="G26" s="17" t="str">
        <f>"The best recorded performance score was in "&amp;J26&amp;" devices "&amp; J27 &amp;",  at  "&amp; L26
&amp;CHAR(10)&amp;
"The worst recorded performance score was in "&amp; K26 &amp;" devices "&amp; K27 &amp;", at "&amp;L27
&amp;CHAR(10)&amp;
"Refer to "&amp;B27&amp;"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06_Contact tab for the best and worst insight, links for full diagnostic readings and recommendations for improvement.</v>
      </c>
      <c r="I26" s="14" t="s">
        <v>13</v>
      </c>
      <c r="J26" s="18" t="str">
        <f t="array" ref="J26">INDIRECT(M26)</f>
        <v>Desktop</v>
      </c>
      <c r="K26" s="19" t="str">
        <f t="array" ref="K26">INDIRECT(M27)</f>
        <v>Desktop</v>
      </c>
      <c r="L26" s="20">
        <f>MAX(D27:E28)</f>
        <v>0</v>
      </c>
      <c r="M26" s="1" t="str">
        <f>IF(LEFT(N26,1)="D",
    CHAR(CODE(LEFT(N26,1)) - 1) &amp; MID(N26,2,99),
    CHAR(CODE(LEFT(N26,1)) - 2) &amp; MID(N26,2,99)
)</f>
        <v>C27</v>
      </c>
      <c r="N26" s="21" t="str">
        <f t="array" ref="N26">ADDRESS(MIN(IF(D27:E28=L26,ROW(D27:E28))), MIN(IF(D27:E28=L26,COLUMN(D27:E28))), 4)</f>
        <v>D27</v>
      </c>
      <c r="O26" s="21" t="str">
        <f t="array" ref="O26">ADDRESS(MIN(IF(D27:E28=L27,ROW(D27:E28))), MIN(IF(D27:E28=L27,COLUMN(D27:E28))), 4)</f>
        <v>D27</v>
      </c>
    </row>
    <row r="27" ht="15" customHeight="1" spans="2:15" x14ac:dyDescent="0.25">
      <c r="B27" s="22" t="s">
        <v>24</v>
      </c>
      <c r="C27" s="23" t="s">
        <v>15</v>
      </c>
      <c r="D27" s="24"/>
      <c r="E27" s="24"/>
      <c r="F27" s="4"/>
      <c r="G27" s="25"/>
      <c r="I27" s="14" t="s">
        <v>16</v>
      </c>
      <c r="J27" s="18" t="str">
        <f>IF(J26="Desktop",IF(D27=E27,"with and without cache",(IF(D27&gt;E27,"with cache","without cache"))),IF(D28=E28,"with and without cache",(IF(D28&gt;E28,"with cache","without cache"))))</f>
        <v>with and without cache</v>
      </c>
      <c r="K27" s="19" t="str">
        <f>IF(K26="Desktop",IF(D27=E27,"with and without cache",IF(D27&lt;E27,"with cache","without cache")),IF(D28=E28,"with and without cache",IF(D28&lt;E28,"with cache","without cache")))</f>
        <v>with and without cache</v>
      </c>
      <c r="L27" s="26">
        <f>MIN(D27:E28)</f>
        <v>0</v>
      </c>
      <c r="M27" s="21" t="str">
        <f>IF(LEFT(O26,1)="D",
    CHAR(CODE(LEFT(O26,1)) - 1) &amp; MID(O26,2,99),
    CHAR(CODE(LEFT(O26,1)) - 2) &amp; MID(O26,2,99)
)</f>
        <v>C27</v>
      </c>
      <c r="N27" s="21"/>
      <c r="O27" s="21"/>
    </row>
    <row r="28" ht="15" customHeight="1" spans="2:15" x14ac:dyDescent="0.25">
      <c r="B28" s="27"/>
      <c r="C28" s="28" t="s">
        <v>17</v>
      </c>
      <c r="D28" s="24"/>
      <c r="E28" s="24"/>
      <c r="F28" s="4"/>
      <c r="G28" s="29"/>
      <c r="L28" s="21"/>
      <c r="M28" s="21"/>
      <c r="N28" s="21"/>
      <c r="O28" s="21"/>
    </row>
    <row r="29" ht="15" customHeight="1" spans="2:12" x14ac:dyDescent="0.25">
      <c r="B29" s="30"/>
      <c r="C29" s="4"/>
      <c r="D29" s="31"/>
      <c r="E29" s="31"/>
      <c r="F29" s="4"/>
      <c r="G29" s="4"/>
      <c r="L29" s="14" t="s">
        <v>9</v>
      </c>
    </row>
    <row r="30" ht="15" customHeight="1" spans="2:15" x14ac:dyDescent="0.25">
      <c r="B30" s="10"/>
      <c r="C30" s="10"/>
      <c r="D30" s="15"/>
      <c r="E30" s="15"/>
      <c r="F30" s="4"/>
      <c r="G30" s="17" t="str">
        <f>"The best recorded performance score was in "&amp;J30&amp;" devices "&amp; J31 &amp;",  at  "&amp; L30
&amp;CHAR(10)&amp;
"The worst recorded performance score was in "&amp; K30 &amp;" devices "&amp; K31 &amp;", at "&amp;L31
&amp;CHAR(10)&amp;
"Refer to "&amp;B31&amp;"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07_Privacy tab for the best and worst insight, links for full diagnostic readings and recommendations for improvement.</v>
      </c>
      <c r="I30" s="14" t="s">
        <v>13</v>
      </c>
      <c r="J30" s="18" t="str">
        <f t="array" ref="J30">INDIRECT(M30)</f>
        <v>Desktop</v>
      </c>
      <c r="K30" s="19" t="str">
        <f t="array" ref="K30">INDIRECT(M31)</f>
        <v>Desktop</v>
      </c>
      <c r="L30" s="20">
        <f>MAX(D31:E32)</f>
        <v>0</v>
      </c>
      <c r="M30" s="1" t="str">
        <f>IF(LEFT(N30,1)="D",
    CHAR(CODE(LEFT(N30,1)) - 1) &amp; MID(N30,2,99),
    CHAR(CODE(LEFT(N30,1)) - 2) &amp; MID(N30,2,99)
)</f>
        <v>C31</v>
      </c>
      <c r="N30" s="21" t="str">
        <f t="array" ref="N30">ADDRESS(MIN(IF(D31:E32=L30,ROW(D31:E32))), MIN(IF(D31:E32=L30,COLUMN(D31:E32))), 4)</f>
        <v>D31</v>
      </c>
      <c r="O30" s="21" t="str">
        <f t="array" ref="O30">ADDRESS(MIN(IF(D31:E32=L31,ROW(D31:E32))), MIN(IF(D31:E32=L31,COLUMN(D31:E32))), 4)</f>
        <v>D31</v>
      </c>
    </row>
    <row r="31" ht="15" customHeight="1" spans="2:15" x14ac:dyDescent="0.25">
      <c r="B31" s="22" t="s">
        <v>25</v>
      </c>
      <c r="C31" s="23" t="s">
        <v>15</v>
      </c>
      <c r="D31" s="24"/>
      <c r="E31" s="24"/>
      <c r="F31" s="4"/>
      <c r="G31" s="25"/>
      <c r="I31" s="14" t="s">
        <v>16</v>
      </c>
      <c r="J31" s="18" t="str">
        <f>IF(J30="Desktop",IF(D31=E31,"with and without cache",(IF(D31&gt;E31,"with cache","without cache"))),IF(D32=E32,"with and without cache",(IF(D32&gt;E32,"with cache","without cache"))))</f>
        <v>with and without cache</v>
      </c>
      <c r="K31" s="19" t="str">
        <f>IF(K30="Desktop",IF(D31=E31,"with and without cache",IF(D31&lt;E31,"with cache","without cache")),IF(D32=E32,"with and without cache",IF(D32&lt;E32,"with cache","without cache")))</f>
        <v>with and without cache</v>
      </c>
      <c r="L31" s="26">
        <f>MIN(D31:E32)</f>
        <v>0</v>
      </c>
      <c r="M31" s="21" t="str">
        <f>IF(LEFT(O30,1)="D",
    CHAR(CODE(LEFT(O30,1)) - 1) &amp; MID(O30,2,99),
    CHAR(CODE(LEFT(O30,1)) - 2) &amp; MID(O30,2,99)
)</f>
        <v>C31</v>
      </c>
      <c r="N31" s="21"/>
      <c r="O31" s="21"/>
    </row>
    <row r="32" spans="2:15" x14ac:dyDescent="0.25">
      <c r="B32" s="27"/>
      <c r="C32" s="28" t="s">
        <v>17</v>
      </c>
      <c r="D32" s="24"/>
      <c r="E32" s="24"/>
      <c r="F32" s="4"/>
      <c r="G32" s="29"/>
      <c r="L32" s="21"/>
      <c r="M32" s="21"/>
      <c r="N32" s="21"/>
      <c r="O32" s="21"/>
    </row>
    <row r="33" spans="2:12" x14ac:dyDescent="0.25">
      <c r="B33" s="30"/>
      <c r="C33" s="4"/>
      <c r="D33" s="31"/>
      <c r="E33" s="31"/>
      <c r="F33" s="4"/>
      <c r="G33" s="33"/>
      <c r="L33" s="14" t="s">
        <v>9</v>
      </c>
    </row>
    <row r="34" ht="14.4" customHeight="1" spans="2:15" x14ac:dyDescent="0.25">
      <c r="B34" s="10"/>
      <c r="C34" s="10"/>
      <c r="D34" s="15"/>
      <c r="E34" s="15"/>
      <c r="F34" s="4"/>
      <c r="G34" s="17" t="str">
        <f>"The best recorded performance score was in "&amp;J34&amp;" devices "&amp; J35 &amp;",  at  "&amp; L34
&amp;CHAR(10)&amp;
"The worst recorded performance score was in "&amp; K34 &amp;" devices "&amp; K35 &amp;", at "&amp;L35
&amp;CHAR(10)&amp;
"Refer to "&amp;B35&amp;"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08_Game Testing tab for the best and worst insight, links for full diagnostic readings and recommendations for improvement.</v>
      </c>
      <c r="I34" s="14" t="s">
        <v>13</v>
      </c>
      <c r="J34" s="18" t="str">
        <f t="array" ref="J34">INDIRECT(M34)</f>
        <v>Desktop</v>
      </c>
      <c r="K34" s="19" t="str">
        <f t="array" ref="K34">INDIRECT(M35)</f>
        <v>Desktop</v>
      </c>
      <c r="L34" s="20">
        <f>MAX(D35:E36)</f>
        <v>0</v>
      </c>
      <c r="M34" s="1" t="str">
        <f>IF(LEFT(N34,1)="D",
    CHAR(CODE(LEFT(N34,1)) - 1) &amp; MID(N34,2,99),
    CHAR(CODE(LEFT(N34,1)) - 2) &amp; MID(N34,2,99)
)</f>
        <v>C35</v>
      </c>
      <c r="N34" s="21" t="str">
        <f t="array" ref="N34">ADDRESS(MIN(IF(D35:E36=L34,ROW(D35:E36))), MIN(IF(D35:E36=L34,COLUMN(D35:E36))), 4)</f>
        <v>D35</v>
      </c>
      <c r="O34" s="21" t="str">
        <f t="array" ref="O34">ADDRESS(MIN(IF(D35:E36=L35,ROW(D35:E36))), MIN(IF(D35:E36=L35,COLUMN(D35:E36))), 4)</f>
        <v>D35</v>
      </c>
    </row>
    <row r="35" spans="2:15" x14ac:dyDescent="0.25">
      <c r="B35" s="22" t="s">
        <v>26</v>
      </c>
      <c r="C35" s="23" t="s">
        <v>15</v>
      </c>
      <c r="D35" s="24"/>
      <c r="E35" s="24"/>
      <c r="F35" s="4"/>
      <c r="G35" s="25"/>
      <c r="I35" s="14" t="s">
        <v>16</v>
      </c>
      <c r="J35" s="18" t="str">
        <f>IF(J34="Desktop",IF(D35=E35,"with and without cache",(IF(D35&gt;E35,"with cache","without cache"))),IF(D36=E36,"with and without cache",(IF(D36&gt;E36,"with cache","without cache"))))</f>
        <v>with and without cache</v>
      </c>
      <c r="K35" s="19" t="str">
        <f>IF(K34="Desktop",IF(D35=E35,"with and without cache",IF(D35&lt;E35,"with cache","without cache")),IF(D36=E36,"with and without cache",IF(D36&lt;E36,"with cache","without cache")))</f>
        <v>with and without cache</v>
      </c>
      <c r="L35" s="26">
        <f>MIN(D35:E36)</f>
        <v>0</v>
      </c>
      <c r="M35" s="21" t="str">
        <f>IF(LEFT(O34,1)="D",
    CHAR(CODE(LEFT(O34,1)) - 1) &amp; MID(O34,2,99),
    CHAR(CODE(LEFT(O34,1)) - 2) &amp; MID(O34,2,99)
)</f>
        <v>C35</v>
      </c>
      <c r="N35" s="21"/>
      <c r="O35" s="21"/>
    </row>
    <row r="36" spans="2:15" x14ac:dyDescent="0.25">
      <c r="B36" s="27"/>
      <c r="C36" s="28" t="s">
        <v>17</v>
      </c>
      <c r="D36" s="24"/>
      <c r="E36" s="24"/>
      <c r="F36" s="4"/>
      <c r="G36" s="29"/>
      <c r="L36" s="21"/>
      <c r="M36" s="21"/>
      <c r="N36" s="21"/>
      <c r="O36" s="21"/>
    </row>
    <row r="37" spans="3:15" x14ac:dyDescent="0.25">
      <c r="C37" s="4"/>
      <c r="D37" s="4"/>
      <c r="F37" s="4"/>
      <c r="G37" s="4"/>
      <c r="L37" s="21"/>
      <c r="M37" s="21"/>
      <c r="N37" s="21"/>
      <c r="O37" s="21"/>
    </row>
    <row r="38" ht="14.4" customHeight="1" spans="3:15" x14ac:dyDescent="0.25">
      <c r="C38" s="34" t="s">
        <v>27</v>
      </c>
      <c r="D38" s="35" t="s">
        <v>28</v>
      </c>
      <c r="F38" s="4"/>
      <c r="G38" s="17" t="str">
        <f t="array" ref="G38">IFERROR(
    "The best recorded performance score was in the " &amp; J46 &amp; " page for " &amp; INDIRECT(J43) &amp; " devices " &amp; J42 &amp; ", at " &amp; J39 &amp; CHAR(10) &amp;
    "Refer to " &amp; J47 &amp; " tab for the best insight, links for full diagnostic readings and recommendations for improvement." &amp; CHAR(10) &amp; CHAR(10) &amp;
    "The worst recorded performance score was in the " &amp; K46 &amp; " page for " &amp; INDIRECT(K43) &amp; " devices " &amp; K42 &amp; ", at " &amp; K39 &amp; CHAR(10) &amp;
    "Refer to " &amp; K47 &amp; " tab for the worst insight, links for full diagnostic readings and recommendations for improvement.",
"Kindly, fill the Performance Score first!"
)</f>
        <v>Kindly, fill the Performance Score first!</v>
      </c>
      <c r="I38" s="14" t="s">
        <v>29</v>
      </c>
      <c r="J38" s="36" t="s">
        <v>7</v>
      </c>
      <c r="K38" s="36" t="s">
        <v>8</v>
      </c>
      <c r="L38" s="21"/>
      <c r="M38" s="21"/>
      <c r="N38" s="21"/>
      <c r="O38" s="21"/>
    </row>
    <row r="39" spans="3:15" x14ac:dyDescent="0.25">
      <c r="C39" s="37" t="s">
        <v>30</v>
      </c>
      <c r="D39" s="38" t="s">
        <v>31</v>
      </c>
      <c r="F39" s="4"/>
      <c r="G39" s="25"/>
      <c r="I39" s="14" t="s">
        <v>32</v>
      </c>
      <c r="J39" s="36">
        <f>MAX(performanceRange)</f>
        <v>0</v>
      </c>
      <c r="K39" s="39">
        <f>MIN(performanceRange)</f>
        <v>0</v>
      </c>
      <c r="L39" s="21"/>
      <c r="M39" s="21"/>
      <c r="N39" s="21"/>
      <c r="O39" s="21"/>
    </row>
    <row r="40" spans="3:15" x14ac:dyDescent="0.25">
      <c r="C40" s="40" t="s">
        <v>33</v>
      </c>
      <c r="D40" s="41" t="s">
        <v>34</v>
      </c>
      <c r="F40" s="4"/>
      <c r="G40" s="25"/>
      <c r="I40" s="14" t="s">
        <v>35</v>
      </c>
      <c r="J40" s="36" t="str">
        <f t="array" ref="J40">ADDRESS(MIN(IF(D7:E36=J39,ROW(D7:E36))), MIN(IF(D7:E36=J39,COLUMN(D7:E36))), 4)</f>
        <v>D7</v>
      </c>
      <c r="K40" s="36" t="str">
        <f t="array" ref="K40">ADDRESS(MIN(IF(D7:E36=K39,ROW(D7:E36))), MIN(IF(D7:E36=K39,COLUMN(D7:E36))), 4)</f>
        <v>D7</v>
      </c>
      <c r="L40" s="21"/>
      <c r="M40" s="21"/>
      <c r="N40" s="21"/>
      <c r="O40" s="21"/>
    </row>
    <row r="41" spans="7:11" x14ac:dyDescent="0.25">
      <c r="G41" s="25"/>
      <c r="I41" s="14" t="s">
        <v>36</v>
      </c>
      <c r="J41" s="36" t="str">
        <f>IF(LEFT(J40,1)="D",
      CHAR(CODE(LEFT(J40,1)) + 1)&amp;MID(J40,2,99),
      J40)</f>
        <v>E7</v>
      </c>
      <c r="K41" s="36" t="str">
        <f>IF(LEFT(K40,1)="D",
      CHAR(CODE(LEFT(K40,1)) + 1)&amp;MID(K40,2,99),
      K40)</f>
        <v>E7</v>
      </c>
    </row>
    <row r="42" spans="7:11" x14ac:dyDescent="0.25">
      <c r="G42" s="29"/>
      <c r="I42" s="14" t="s">
        <v>37</v>
      </c>
      <c r="J42" s="3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36" t="str">
        <f t="array" ref="K42">IF(LEFT(K40,1)="D",
    IF(K39=INDIRECT(K41), "with and without cache", "with cache"),
 IF(LEFT(K40,1)="E",
        "without cache", "Incorrect cache location"
    )
)</f>
        <v>with and without cache</v>
      </c>
    </row>
    <row r="43" spans="9:15" x14ac:dyDescent="0.25">
      <c r="I43" s="14" t="s">
        <v>38</v>
      </c>
      <c r="J43" s="36" t="str">
        <f>IF(LEFT(J40,1)="D",
    CHAR(CODE(LEFT(J40,1)) - 1) &amp; MID(J40,2,99),
    CHAR(CODE(LEFT(J40,1)) - 2) &amp; MID(J40,2,99)
)</f>
        <v>C7</v>
      </c>
      <c r="K43" s="36" t="str">
        <f>IF(LEFT(K40,1)="D",
    CHAR(CODE(LEFT(K40,1)) - 1) &amp; MID(K40,2,99),
    CHAR(CODE(LEFT(K40,1)) - 2) &amp; MID(K40,2,99)
)</f>
        <v>C7</v>
      </c>
      <c r="L43" s="21"/>
      <c r="M43" s="21"/>
      <c r="N43" s="21"/>
      <c r="O43" s="21"/>
    </row>
    <row r="44" spans="9:11" x14ac:dyDescent="0.25">
      <c r="I44" s="14" t="s">
        <v>39</v>
      </c>
      <c r="J44" s="36" t="str">
        <f>CHAR(CODE(LEFT(J40,1))
      - IF(LEFT(J40,1)="E", 3,
           IF(LEFT(J40,1)="D", 2, 0)
        )
)
&amp; (MID(J40,2,99)
      - IF(LEFT(J40,1)="E", 0,
           IF(LEFT(J40,1)="D", 0, 0)
        )
)</f>
        <v>B7</v>
      </c>
      <c r="K44" s="36" t="str">
        <f>CHAR(CODE(LEFT(K40,1))
      - IF(LEFT(K40,1)="E", 3,
           IF(LEFT(K40,1)="D", 2, 0)
        )
)
&amp; (MID(K40,2,99)
      - IF(LEFT(K40,1)="E", 1,
           IF(LEFT(K40,1)="D", 1, 0)
        )
)</f>
        <v>B6</v>
      </c>
    </row>
    <row r="45" spans="9:11" x14ac:dyDescent="0.25">
      <c r="I45" s="14" t="s">
        <v>40</v>
      </c>
      <c r="J45" s="36" t="str">
        <f t="array" ref="J45">INDIRECT(J44)</f>
        <v>01_Home</v>
      </c>
      <c r="K45" s="36">
        <f t="array" ref="K45">INDIRECT(K44)</f>
        <v>0</v>
      </c>
    </row>
    <row r="46" spans="9:11" x14ac:dyDescent="0.25">
      <c r="I46" s="14" t="s">
        <v>41</v>
      </c>
      <c r="J46" s="36" t="str">
        <f>RIGHT(J47, LEN(J47) - 3)</f>
        <v>Home</v>
      </c>
      <c r="K46" s="36" t="e">
        <f>RIGHT(K47, LEN(K47) - 3)</f>
        <v>#VALUE!</v>
      </c>
    </row>
    <row r="47" spans="10:11" x14ac:dyDescent="0.25">
      <c r="J47" s="1" t="str">
        <f t="array" ref="J47">INDIRECT(J48)</f>
        <v>01_Home</v>
      </c>
      <c r="K47" s="1">
        <f t="array" ref="K47">INDIRECT(K48)</f>
        <v>0</v>
      </c>
    </row>
    <row r="48" spans="10:11" x14ac:dyDescent="0.25">
      <c r="J48" s="1" t="str">
        <f t="array" ref="J48">LEFT(J44,MATCH(TRUE,ISNUMBER(MID(J44,ROW(INDIRECT("1:"&amp;LEN(J44))),1)+0),0)-1)&amp;(MID(J44,MATCH(TRUE,ISNUMBER(MID(J44,ROW(INDIRECT("1:"&amp;LEN(J44))),1)+0),0),LEN(J44))-(MOD(MID(J44,MATCH(TRUE,ISNUMBER(MID(J44,ROW(INDIRECT("1:"&amp;LEN(J44))),1)+0),0),LEN(J44)),2)=0))</f>
        <v>B7</v>
      </c>
      <c r="K48" s="1" t="str">
        <f t="array" ref="K48">LEFT(K44,MATCH(TRUE,ISNUMBER(MID(K44,ROW(INDIRECT("1:"&amp;LEN(K44))),1)+0),0)-1)&amp;(MID(K44,MATCH(TRUE,ISNUMBER(MID(K44,ROW(INDIRECT("1:"&amp;LEN(K44))),1)+0),0),LEN(K44))-(MOD(MID(K44,MATCH(TRUE,ISNUMBER(MID(K44,ROW(INDIRECT("1:"&amp;LEN(K44))),1)+0),0),LEN(K44)),2)=0))</f>
        <v>B5</v>
      </c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3" operator="lessThan">
      <formula>50</formula>
    </cfRule>
    <cfRule type="cellIs" dxfId="1" priority="4" operator="lessThan">
      <formula>90</formula>
    </cfRule>
  </conditionalFormatting>
  <conditionalFormatting sqref="D11:E12">
    <cfRule type="cellIs" dxfId="2" priority="5" operator="lessThan">
      <formula>50</formula>
    </cfRule>
    <cfRule type="cellIs" dxfId="3" priority="6" operator="lessThan">
      <formula>90</formula>
    </cfRule>
  </conditionalFormatting>
  <conditionalFormatting sqref="D15:E16">
    <cfRule type="cellIs" dxfId="4" priority="7" operator="lessThan">
      <formula>50</formula>
    </cfRule>
    <cfRule type="cellIs" dxfId="5" priority="8" operator="lessThan">
      <formula>90</formula>
    </cfRule>
  </conditionalFormatting>
  <conditionalFormatting sqref="D19:E20">
    <cfRule type="cellIs" dxfId="6" priority="9" operator="lessThan">
      <formula>50</formula>
    </cfRule>
    <cfRule type="cellIs" dxfId="7" priority="10" operator="lessThan">
      <formula>90</formula>
    </cfRule>
  </conditionalFormatting>
  <conditionalFormatting sqref="D23:E24">
    <cfRule type="cellIs" dxfId="8" priority="11" operator="lessThan">
      <formula>50</formula>
    </cfRule>
    <cfRule type="cellIs" dxfId="9" priority="12" operator="lessThan">
      <formula>90</formula>
    </cfRule>
  </conditionalFormatting>
  <conditionalFormatting sqref="D27:E28">
    <cfRule type="cellIs" dxfId="10" priority="13" operator="lessThan">
      <formula>50</formula>
    </cfRule>
    <cfRule type="cellIs" dxfId="11" priority="14" operator="lessThan">
      <formula>90</formula>
    </cfRule>
  </conditionalFormatting>
  <conditionalFormatting sqref="D31:E32">
    <cfRule type="cellIs" dxfId="12" priority="21" operator="lessThan">
      <formula>50</formula>
    </cfRule>
    <cfRule type="cellIs" dxfId="13" priority="22" operator="lessThan">
      <formula>90</formula>
    </cfRule>
  </conditionalFormatting>
  <conditionalFormatting sqref="D35:E36">
    <cfRule type="cellIs" dxfId="14" priority="1" operator="lessThan">
      <formula>50</formula>
    </cfRule>
    <cfRule type="cellIs" dxfId="15" priority="2" operator="lessThan">
      <formula>90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8.1093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42">
        <f>Summary!D6</f>
        <v>0</v>
      </c>
      <c r="D2" s="43"/>
    </row>
    <row r="3" spans="2:5" x14ac:dyDescent="0.25">
      <c r="B3" s="44" t="str">
        <f>Summary!B7</f>
        <v>01_Home</v>
      </c>
      <c r="C3" s="45" t="s">
        <v>15</v>
      </c>
      <c r="D3" s="46" t="s">
        <v>5</v>
      </c>
      <c r="E3" s="47"/>
    </row>
    <row r="4" spans="2:5" x14ac:dyDescent="0.25">
      <c r="B4" s="48"/>
      <c r="C4" s="49"/>
      <c r="D4" s="50" t="s">
        <v>6</v>
      </c>
      <c r="E4" s="47"/>
    </row>
    <row r="5" spans="2:5" x14ac:dyDescent="0.25">
      <c r="B5" s="48"/>
      <c r="C5" s="49" t="s">
        <v>17</v>
      </c>
      <c r="D5" s="50" t="s">
        <v>5</v>
      </c>
      <c r="E5" s="47"/>
    </row>
    <row r="6" spans="2:5" x14ac:dyDescent="0.25">
      <c r="B6" s="51"/>
      <c r="C6" s="52"/>
      <c r="D6" s="53" t="s">
        <v>6</v>
      </c>
      <c r="E6" s="47"/>
    </row>
    <row r="7" spans="2:5" x14ac:dyDescent="0.25">
      <c r="B7" s="54"/>
      <c r="C7" s="54"/>
      <c r="E7" s="55"/>
    </row>
    <row r="8" spans="2:2" x14ac:dyDescent="0.25">
      <c r="B8" t="s">
        <v>42</v>
      </c>
    </row>
    <row r="9" spans="2:5" x14ac:dyDescent="0.25">
      <c r="B9" t="s">
        <v>43</v>
      </c>
      <c r="C9" s="56">
        <f>E3</f>
        <v>0</v>
      </c>
      <c r="D9" s="57"/>
      <c r="E9" s="58"/>
    </row>
    <row r="10" spans="2:4" x14ac:dyDescent="0.25">
      <c r="B10" t="s">
        <v>44</v>
      </c>
      <c r="C10" s="59" t="s">
        <v>45</v>
      </c>
      <c r="D10" s="60"/>
    </row>
    <row r="11" spans="2:4" x14ac:dyDescent="0.25">
      <c r="B11" t="s">
        <v>46</v>
      </c>
      <c r="C11" s="61" t="s">
        <v>47</v>
      </c>
      <c r="D11" s="62"/>
    </row>
    <row r="12" spans="3:4" x14ac:dyDescent="0.25">
      <c r="C12" s="63"/>
      <c r="D12" s="63"/>
    </row>
    <row r="13" spans="3:4" x14ac:dyDescent="0.25">
      <c r="C13" s="63"/>
      <c r="D13" s="63"/>
    </row>
    <row r="14" spans="3:4" x14ac:dyDescent="0.25">
      <c r="C14" s="63"/>
      <c r="D14" s="63"/>
    </row>
    <row r="15" spans="3:4" x14ac:dyDescent="0.25">
      <c r="C15" s="63"/>
      <c r="D15" s="63"/>
    </row>
    <row r="16" spans="3:4" x14ac:dyDescent="0.25">
      <c r="C16" s="63"/>
      <c r="D16" s="63"/>
    </row>
    <row r="24" spans="2:2" x14ac:dyDescent="0.25">
      <c r="B24" t="s">
        <v>48</v>
      </c>
    </row>
    <row r="25" spans="2:5" x14ac:dyDescent="0.25">
      <c r="B25" t="s">
        <v>43</v>
      </c>
      <c r="C25" s="56">
        <f>E5</f>
        <v>0</v>
      </c>
      <c r="D25" s="57"/>
      <c r="E25" s="58"/>
    </row>
    <row r="26" spans="2:5" x14ac:dyDescent="0.25">
      <c r="B26" t="s">
        <v>44</v>
      </c>
      <c r="C26" s="64"/>
      <c r="D26" s="65"/>
      <c r="E26" s="66"/>
    </row>
    <row r="27" spans="2:5" x14ac:dyDescent="0.25">
      <c r="B27" t="s">
        <v>46</v>
      </c>
      <c r="C27" s="67"/>
      <c r="D27" s="68"/>
      <c r="E27" s="62"/>
    </row>
    <row r="29" ht="14.4" customHeight="1" x14ac:dyDescent="0.25"/>
  </sheetData>
  <mergeCells count="9">
    <mergeCell ref="C2:D2"/>
    <mergeCell ref="B3:B6"/>
    <mergeCell ref="C3:C4"/>
    <mergeCell ref="C5:C6"/>
    <mergeCell ref="C9:E9"/>
    <mergeCell ref="C10:D10"/>
    <mergeCell ref="C11:D11"/>
    <mergeCell ref="C25:E25"/>
    <mergeCell ref="C26:E26"/>
  </mergeCells>
  <hyperlinks>
    <hyperlink ref="C11" r:id="rId1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8.1093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42">
        <f>Summary!D10</f>
        <v>0</v>
      </c>
      <c r="D2" s="43"/>
    </row>
    <row r="3" spans="2:5" x14ac:dyDescent="0.25">
      <c r="B3" s="44" t="str">
        <f>Summary!B11</f>
        <v>02_Testing</v>
      </c>
      <c r="C3" s="45" t="s">
        <v>15</v>
      </c>
      <c r="D3" s="46" t="s">
        <v>5</v>
      </c>
      <c r="E3" s="47" t="s">
        <v>49</v>
      </c>
    </row>
    <row r="4" spans="2:5" x14ac:dyDescent="0.25">
      <c r="B4" s="48"/>
      <c r="C4" s="49"/>
      <c r="D4" s="50" t="s">
        <v>6</v>
      </c>
      <c r="E4" s="47" t="s">
        <v>50</v>
      </c>
    </row>
    <row r="5" spans="2:5" x14ac:dyDescent="0.25">
      <c r="B5" s="48"/>
      <c r="C5" s="49" t="s">
        <v>17</v>
      </c>
      <c r="D5" s="50" t="s">
        <v>5</v>
      </c>
      <c r="E5" s="47" t="s">
        <v>51</v>
      </c>
    </row>
    <row r="6" spans="2:5" x14ac:dyDescent="0.25">
      <c r="B6" s="51"/>
      <c r="C6" s="52"/>
      <c r="D6" s="53" t="s">
        <v>6</v>
      </c>
      <c r="E6" s="47" t="s">
        <v>52</v>
      </c>
    </row>
    <row r="7" spans="2:5" x14ac:dyDescent="0.25">
      <c r="B7" s="54"/>
      <c r="C7" s="54"/>
      <c r="E7" s="55"/>
    </row>
    <row r="8" spans="2:2" x14ac:dyDescent="0.25">
      <c r="B8" t="s">
        <v>42</v>
      </c>
    </row>
    <row r="9" spans="2:5" x14ac:dyDescent="0.25">
      <c r="B9" t="s">
        <v>43</v>
      </c>
      <c r="C9" s="56">
        <f>E3</f>
        <v>0</v>
      </c>
      <c r="D9" s="57"/>
      <c r="E9" s="58"/>
    </row>
    <row r="10" ht="14.4" customHeight="1" spans="2:4" x14ac:dyDescent="0.25">
      <c r="B10" t="s">
        <v>44</v>
      </c>
      <c r="C10" s="59" t="s">
        <v>45</v>
      </c>
      <c r="D10" s="60"/>
    </row>
    <row r="11" ht="14.4" customHeight="1" spans="2:4" x14ac:dyDescent="0.25">
      <c r="B11" t="s">
        <v>46</v>
      </c>
      <c r="C11" s="61" t="s">
        <v>47</v>
      </c>
      <c r="D11" s="62"/>
    </row>
    <row r="12" spans="3:4" x14ac:dyDescent="0.25">
      <c r="C12" s="63"/>
      <c r="D12" s="63"/>
    </row>
    <row r="13" spans="3:4" x14ac:dyDescent="0.25">
      <c r="C13" s="63"/>
      <c r="D13" s="63"/>
    </row>
    <row r="14" spans="3:4" x14ac:dyDescent="0.25">
      <c r="C14" s="63"/>
      <c r="D14" s="63"/>
    </row>
    <row r="15" spans="3:4" x14ac:dyDescent="0.25">
      <c r="C15" s="63"/>
      <c r="D15" s="63"/>
    </row>
    <row r="16" spans="3:4" x14ac:dyDescent="0.25">
      <c r="C16" s="63"/>
      <c r="D16" s="63"/>
    </row>
    <row r="17" spans="3:4" x14ac:dyDescent="0.25">
      <c r="C17" s="63"/>
      <c r="D17" s="63"/>
    </row>
    <row r="18" spans="3:4" x14ac:dyDescent="0.25">
      <c r="C18" s="63"/>
      <c r="D18" s="63"/>
    </row>
    <row r="19" spans="3:4" x14ac:dyDescent="0.25">
      <c r="C19" s="63"/>
      <c r="D19" s="63"/>
    </row>
    <row r="24" ht="15" customHeight="1" spans="2:2" x14ac:dyDescent="0.25">
      <c r="B24" t="s">
        <v>48</v>
      </c>
    </row>
    <row r="25" ht="15" customHeight="1" spans="2:5" x14ac:dyDescent="0.25">
      <c r="B25" t="s">
        <v>43</v>
      </c>
      <c r="C25" s="56">
        <f>E5</f>
        <v>0</v>
      </c>
      <c r="D25" s="57"/>
      <c r="E25" s="58"/>
    </row>
    <row r="26" ht="15" customHeight="1" spans="2:5" x14ac:dyDescent="0.25">
      <c r="B26" t="s">
        <v>44</v>
      </c>
      <c r="C26" s="64" t="s">
        <v>53</v>
      </c>
      <c r="D26" s="65"/>
      <c r="E26" s="66"/>
    </row>
    <row r="27" ht="15" customHeight="1" spans="2:5" x14ac:dyDescent="0.25">
      <c r="B27" t="s">
        <v>46</v>
      </c>
      <c r="C27" s="67" t="s">
        <v>54</v>
      </c>
      <c r="D27" s="68"/>
      <c r="E27" s="62"/>
    </row>
    <row r="30" spans="3:3" x14ac:dyDescent="0.25">
      <c r="C30" s="69"/>
    </row>
  </sheetData>
  <mergeCells count="9">
    <mergeCell ref="C2:D2"/>
    <mergeCell ref="B3:B6"/>
    <mergeCell ref="C3:C4"/>
    <mergeCell ref="C5:C6"/>
    <mergeCell ref="C9:E9"/>
    <mergeCell ref="C10:D10"/>
    <mergeCell ref="C11:D11"/>
    <mergeCell ref="C25:E25"/>
    <mergeCell ref="C26:E26"/>
  </mergeCells>
  <hyperlinks>
    <hyperlink ref="E3" r:id="rId1"/>
    <hyperlink ref="E4" r:id="rId2"/>
    <hyperlink ref="E5" r:id="rId3"/>
    <hyperlink ref="E6" r:id="rId4"/>
    <hyperlink ref="C11" r:id="rId5"/>
    <hyperlink ref="C27" r:id="rId6"/>
  </hyperlinks>
  <pageMargins left="0.7" right="0.7" top="0.75" bottom="0.75" header="0.3" footer="0.3"/>
  <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8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42">
        <f>Summary!D14</f>
        <v>0</v>
      </c>
      <c r="D2" s="43"/>
    </row>
    <row r="3" ht="15" customHeight="1" spans="2:5" x14ac:dyDescent="0.25">
      <c r="B3" s="44" t="str">
        <f>Summary!B15</f>
        <v>03_About</v>
      </c>
      <c r="C3" s="45" t="s">
        <v>15</v>
      </c>
      <c r="D3" s="46" t="s">
        <v>5</v>
      </c>
      <c r="E3" s="47"/>
    </row>
    <row r="4" ht="15" customHeight="1" spans="2:5" x14ac:dyDescent="0.25">
      <c r="B4" s="48"/>
      <c r="C4" s="49"/>
      <c r="D4" s="50" t="s">
        <v>6</v>
      </c>
      <c r="E4" s="47"/>
    </row>
    <row r="5" ht="15" customHeight="1" spans="2:5" x14ac:dyDescent="0.25">
      <c r="B5" s="48"/>
      <c r="C5" s="49" t="s">
        <v>17</v>
      </c>
      <c r="D5" s="50" t="s">
        <v>5</v>
      </c>
      <c r="E5" s="47"/>
    </row>
    <row r="6" ht="15" customHeight="1" spans="2:5" x14ac:dyDescent="0.25">
      <c r="B6" s="51"/>
      <c r="C6" s="52"/>
      <c r="D6" s="53" t="s">
        <v>6</v>
      </c>
      <c r="E6" s="47"/>
    </row>
    <row r="7" spans="2:5" x14ac:dyDescent="0.25">
      <c r="B7" s="54"/>
      <c r="C7" s="54"/>
      <c r="E7" s="55"/>
    </row>
    <row r="8" ht="15" customHeight="1" spans="2:2" x14ac:dyDescent="0.25">
      <c r="B8" t="s">
        <v>42</v>
      </c>
    </row>
    <row r="9" spans="2:5" x14ac:dyDescent="0.25">
      <c r="B9" t="s">
        <v>43</v>
      </c>
      <c r="C9" s="56">
        <f>E3</f>
        <v>0</v>
      </c>
      <c r="D9" s="57"/>
      <c r="E9" s="58"/>
    </row>
    <row r="10" ht="14.4" customHeight="1" spans="2:4" x14ac:dyDescent="0.25">
      <c r="B10" t="s">
        <v>44</v>
      </c>
      <c r="C10" s="59" t="s">
        <v>45</v>
      </c>
      <c r="D10" s="60"/>
    </row>
    <row r="11" ht="14.4" customHeight="1" spans="2:4" x14ac:dyDescent="0.25">
      <c r="B11" t="s">
        <v>46</v>
      </c>
      <c r="C11" s="61" t="s">
        <v>47</v>
      </c>
      <c r="D11" s="62"/>
    </row>
    <row r="12" spans="3:4" x14ac:dyDescent="0.25">
      <c r="C12" s="63"/>
      <c r="D12" s="63"/>
    </row>
    <row r="13" spans="3:4" x14ac:dyDescent="0.25">
      <c r="C13" s="63"/>
      <c r="D13" s="63"/>
    </row>
    <row r="14" spans="3:4" x14ac:dyDescent="0.25">
      <c r="C14" s="63"/>
      <c r="D14" s="63"/>
    </row>
    <row r="15" spans="3:4" x14ac:dyDescent="0.25">
      <c r="C15" s="63"/>
      <c r="D15" s="63"/>
    </row>
    <row r="16" spans="3:4" x14ac:dyDescent="0.25">
      <c r="C16" s="63"/>
      <c r="D16" s="63"/>
    </row>
    <row r="17" spans="3:4" x14ac:dyDescent="0.25">
      <c r="C17" s="63"/>
      <c r="D17" s="63"/>
    </row>
    <row r="18" spans="3:4" x14ac:dyDescent="0.25">
      <c r="C18" s="63"/>
      <c r="D18" s="63"/>
    </row>
    <row r="19" spans="3:4" x14ac:dyDescent="0.25">
      <c r="C19" s="63"/>
      <c r="D19" s="63"/>
    </row>
    <row r="24" ht="15" customHeight="1" spans="2:2" x14ac:dyDescent="0.25">
      <c r="B24" t="s">
        <v>48</v>
      </c>
    </row>
    <row r="25" ht="15" customHeight="1" spans="2:5" x14ac:dyDescent="0.25">
      <c r="B25" t="s">
        <v>43</v>
      </c>
      <c r="C25" s="56">
        <f>E5</f>
        <v>0</v>
      </c>
      <c r="D25" s="57"/>
      <c r="E25" s="58"/>
    </row>
    <row r="26" ht="15" customHeight="1" spans="2:5" x14ac:dyDescent="0.25">
      <c r="B26" t="s">
        <v>44</v>
      </c>
      <c r="C26" s="64"/>
      <c r="D26" s="65"/>
      <c r="E26" s="66"/>
    </row>
    <row r="27" ht="15" customHeight="1" spans="2:5" x14ac:dyDescent="0.25">
      <c r="B27" t="s">
        <v>46</v>
      </c>
      <c r="C27" s="67"/>
      <c r="D27" s="68"/>
      <c r="E27" s="62"/>
    </row>
  </sheetData>
  <mergeCells count="9">
    <mergeCell ref="C2:D2"/>
    <mergeCell ref="B3:B6"/>
    <mergeCell ref="C3:C4"/>
    <mergeCell ref="C5:C6"/>
    <mergeCell ref="C9:E9"/>
    <mergeCell ref="C10:D10"/>
    <mergeCell ref="C11:D11"/>
    <mergeCell ref="C25:E25"/>
    <mergeCell ref="C26:E26"/>
  </mergeCells>
  <hyperlinks>
    <hyperlink ref="C11" r:id="rId1"/>
  </hyperlink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8.4414062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42">
        <f>Summary!D18</f>
        <v>0</v>
      </c>
      <c r="D2" s="43"/>
    </row>
    <row r="3" ht="15" customHeight="1" spans="2:5" x14ac:dyDescent="0.25">
      <c r="B3" s="44" t="str">
        <f>Summary!B19</f>
        <v>04_News</v>
      </c>
      <c r="C3" s="45" t="s">
        <v>15</v>
      </c>
      <c r="D3" s="46" t="s">
        <v>5</v>
      </c>
      <c r="E3" s="47"/>
    </row>
    <row r="4" ht="15" customHeight="1" spans="2:5" x14ac:dyDescent="0.25">
      <c r="B4" s="48"/>
      <c r="C4" s="49"/>
      <c r="D4" s="50" t="s">
        <v>6</v>
      </c>
      <c r="E4" s="47"/>
    </row>
    <row r="5" ht="15" customHeight="1" spans="2:5" x14ac:dyDescent="0.25">
      <c r="B5" s="48"/>
      <c r="C5" s="49" t="s">
        <v>17</v>
      </c>
      <c r="D5" s="50" t="s">
        <v>5</v>
      </c>
      <c r="E5" s="47"/>
    </row>
    <row r="6" ht="15" customHeight="1" spans="2:5" x14ac:dyDescent="0.25">
      <c r="B6" s="51"/>
      <c r="C6" s="52"/>
      <c r="D6" s="53" t="s">
        <v>6</v>
      </c>
      <c r="E6" s="47"/>
    </row>
    <row r="7" spans="2:5" x14ac:dyDescent="0.25">
      <c r="B7" s="54"/>
      <c r="C7" s="54"/>
      <c r="E7" s="55"/>
    </row>
    <row r="8" ht="15" customHeight="1" spans="2:2" x14ac:dyDescent="0.25">
      <c r="B8" t="s">
        <v>42</v>
      </c>
    </row>
    <row r="9" spans="2:5" x14ac:dyDescent="0.25">
      <c r="B9" t="s">
        <v>43</v>
      </c>
      <c r="C9" s="56">
        <f>E3</f>
        <v>0</v>
      </c>
      <c r="D9" s="57"/>
      <c r="E9" s="58"/>
    </row>
    <row r="10" ht="14.4" customHeight="1" spans="2:4" x14ac:dyDescent="0.25">
      <c r="B10" t="s">
        <v>44</v>
      </c>
      <c r="C10" s="59" t="s">
        <v>45</v>
      </c>
      <c r="D10" s="60"/>
    </row>
    <row r="11" ht="14.4" customHeight="1" spans="2:4" x14ac:dyDescent="0.25">
      <c r="B11" t="s">
        <v>46</v>
      </c>
      <c r="C11" s="61" t="s">
        <v>47</v>
      </c>
      <c r="D11" s="62"/>
    </row>
    <row r="12" spans="3:4" x14ac:dyDescent="0.25">
      <c r="C12" s="63"/>
      <c r="D12" s="63"/>
    </row>
    <row r="13" spans="3:4" x14ac:dyDescent="0.25">
      <c r="C13" s="63"/>
      <c r="D13" s="63"/>
    </row>
    <row r="14" spans="3:4" x14ac:dyDescent="0.25">
      <c r="C14" s="63"/>
      <c r="D14" s="63"/>
    </row>
    <row r="15" spans="3:4" x14ac:dyDescent="0.25">
      <c r="C15" s="63"/>
      <c r="D15" s="63"/>
    </row>
    <row r="16" spans="3:4" x14ac:dyDescent="0.25">
      <c r="C16" s="63"/>
      <c r="D16" s="63"/>
    </row>
    <row r="24" ht="15" customHeight="1" spans="2:2" x14ac:dyDescent="0.25">
      <c r="B24" t="s">
        <v>48</v>
      </c>
    </row>
    <row r="25" ht="15" customHeight="1" spans="2:5" x14ac:dyDescent="0.25">
      <c r="B25" t="s">
        <v>43</v>
      </c>
      <c r="C25" s="56">
        <f>E5</f>
        <v>0</v>
      </c>
      <c r="D25" s="57"/>
      <c r="E25" s="58"/>
    </row>
    <row r="26" ht="15" customHeight="1" spans="2:5" x14ac:dyDescent="0.25">
      <c r="B26" t="s">
        <v>44</v>
      </c>
      <c r="C26" s="64"/>
      <c r="D26" s="65"/>
      <c r="E26" s="66"/>
    </row>
    <row r="27" ht="15" customHeight="1" spans="2:5" x14ac:dyDescent="0.25">
      <c r="B27" t="s">
        <v>46</v>
      </c>
      <c r="C27" s="67"/>
      <c r="D27" s="68"/>
      <c r="E27" s="62"/>
    </row>
  </sheetData>
  <mergeCells count="9">
    <mergeCell ref="C2:D2"/>
    <mergeCell ref="B3:B6"/>
    <mergeCell ref="C3:C4"/>
    <mergeCell ref="C5:C6"/>
    <mergeCell ref="C9:E9"/>
    <mergeCell ref="C10:D10"/>
    <mergeCell ref="C11:D11"/>
    <mergeCell ref="C25:E25"/>
    <mergeCell ref="C26:E26"/>
  </mergeCells>
  <hyperlinks>
    <hyperlink ref="C11" r:id="rId1"/>
  </hyperlinks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8.664062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42">
        <f>Summary!D22</f>
        <v>0</v>
      </c>
      <c r="D2" s="43"/>
    </row>
    <row r="3" ht="15" customHeight="1" spans="2:5" x14ac:dyDescent="0.25">
      <c r="B3" s="44" t="str">
        <f>Summary!B23</f>
        <v>05_Careers</v>
      </c>
      <c r="C3" s="45" t="s">
        <v>15</v>
      </c>
      <c r="D3" s="46" t="s">
        <v>5</v>
      </c>
      <c r="E3" s="47"/>
    </row>
    <row r="4" ht="15" customHeight="1" spans="2:5" x14ac:dyDescent="0.25">
      <c r="B4" s="48"/>
      <c r="C4" s="49"/>
      <c r="D4" s="50" t="s">
        <v>6</v>
      </c>
      <c r="E4" s="47"/>
    </row>
    <row r="5" ht="15" customHeight="1" spans="2:5" x14ac:dyDescent="0.25">
      <c r="B5" s="48"/>
      <c r="C5" s="49" t="s">
        <v>17</v>
      </c>
      <c r="D5" s="50" t="s">
        <v>5</v>
      </c>
      <c r="E5" s="47"/>
    </row>
    <row r="6" ht="15" customHeight="1" spans="2:5" x14ac:dyDescent="0.25">
      <c r="B6" s="51"/>
      <c r="C6" s="52"/>
      <c r="D6" s="53" t="s">
        <v>6</v>
      </c>
      <c r="E6" s="47"/>
    </row>
    <row r="7" spans="2:5" x14ac:dyDescent="0.25">
      <c r="B7" s="54"/>
      <c r="C7" s="54"/>
      <c r="E7" s="55"/>
    </row>
    <row r="8" ht="15" customHeight="1" spans="2:2" x14ac:dyDescent="0.25">
      <c r="B8" t="s">
        <v>42</v>
      </c>
    </row>
    <row r="9" spans="2:5" x14ac:dyDescent="0.25">
      <c r="B9" t="s">
        <v>43</v>
      </c>
      <c r="C9" s="56">
        <f>E3</f>
        <v>0</v>
      </c>
      <c r="D9" s="57"/>
      <c r="E9" s="58"/>
    </row>
    <row r="10" ht="14.4" customHeight="1" spans="2:4" x14ac:dyDescent="0.25">
      <c r="B10" t="s">
        <v>44</v>
      </c>
      <c r="C10" s="59" t="s">
        <v>45</v>
      </c>
      <c r="D10" s="60"/>
    </row>
    <row r="11" ht="14.4" customHeight="1" spans="2:4" x14ac:dyDescent="0.25">
      <c r="B11" t="s">
        <v>46</v>
      </c>
      <c r="C11" s="61" t="s">
        <v>47</v>
      </c>
      <c r="D11" s="62"/>
    </row>
    <row r="12" spans="3:4" x14ac:dyDescent="0.25">
      <c r="C12" s="63"/>
      <c r="D12" s="63"/>
    </row>
    <row r="13" spans="3:4" x14ac:dyDescent="0.25">
      <c r="C13" s="63"/>
      <c r="D13" s="63"/>
    </row>
    <row r="14" spans="3:4" x14ac:dyDescent="0.25">
      <c r="C14" s="63"/>
      <c r="D14" s="63"/>
    </row>
    <row r="15" spans="3:4" x14ac:dyDescent="0.25">
      <c r="C15" s="63"/>
      <c r="D15" s="63"/>
    </row>
    <row r="16" spans="3:4" x14ac:dyDescent="0.25">
      <c r="C16" s="63"/>
      <c r="D16" s="63"/>
    </row>
    <row r="24" ht="15" customHeight="1" spans="2:2" x14ac:dyDescent="0.25">
      <c r="B24" t="s">
        <v>48</v>
      </c>
    </row>
    <row r="25" ht="15" customHeight="1" spans="2:5" x14ac:dyDescent="0.25">
      <c r="B25" t="s">
        <v>43</v>
      </c>
      <c r="C25" s="56">
        <f>E5</f>
        <v>0</v>
      </c>
      <c r="D25" s="57"/>
      <c r="E25" s="58"/>
    </row>
    <row r="26" ht="15" customHeight="1" spans="2:5" x14ac:dyDescent="0.25">
      <c r="B26" t="s">
        <v>44</v>
      </c>
      <c r="C26" s="64"/>
      <c r="D26" s="65"/>
      <c r="E26" s="66"/>
    </row>
    <row r="27" ht="15" customHeight="1" spans="2:5" x14ac:dyDescent="0.25">
      <c r="B27" t="s">
        <v>46</v>
      </c>
      <c r="C27" s="67"/>
      <c r="D27" s="68"/>
      <c r="E27" s="62"/>
    </row>
    <row r="29" spans="3:3" x14ac:dyDescent="0.25">
      <c r="C29" s="69"/>
    </row>
  </sheetData>
  <mergeCells count="9">
    <mergeCell ref="C2:D2"/>
    <mergeCell ref="B3:B6"/>
    <mergeCell ref="C3:C4"/>
    <mergeCell ref="C5:C6"/>
    <mergeCell ref="C9:E9"/>
    <mergeCell ref="C10:D10"/>
    <mergeCell ref="C11:D11"/>
    <mergeCell ref="C25:E25"/>
    <mergeCell ref="C26:E26"/>
  </mergeCells>
  <hyperlinks>
    <hyperlink ref="C11" r:id="rId1"/>
  </hyperlinks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8.4414062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42">
        <f>Summary!D26</f>
        <v>0</v>
      </c>
      <c r="D2" s="43"/>
    </row>
    <row r="3" ht="15" customHeight="1" spans="2:5" x14ac:dyDescent="0.25">
      <c r="B3" s="44" t="str">
        <f>Summary!B27</f>
        <v>06_Contact</v>
      </c>
      <c r="C3" s="45" t="s">
        <v>15</v>
      </c>
      <c r="D3" s="46" t="s">
        <v>5</v>
      </c>
      <c r="E3" s="47"/>
    </row>
    <row r="4" ht="15" customHeight="1" spans="2:5" x14ac:dyDescent="0.25">
      <c r="B4" s="48"/>
      <c r="C4" s="49"/>
      <c r="D4" s="50" t="s">
        <v>6</v>
      </c>
      <c r="E4" s="47"/>
    </row>
    <row r="5" ht="15" customHeight="1" spans="2:5" x14ac:dyDescent="0.25">
      <c r="B5" s="48"/>
      <c r="C5" s="49" t="s">
        <v>17</v>
      </c>
      <c r="D5" s="50" t="s">
        <v>5</v>
      </c>
      <c r="E5" s="47"/>
    </row>
    <row r="6" ht="15" customHeight="1" spans="2:5" x14ac:dyDescent="0.25">
      <c r="B6" s="51"/>
      <c r="C6" s="52"/>
      <c r="D6" s="53" t="s">
        <v>6</v>
      </c>
      <c r="E6" s="47"/>
    </row>
    <row r="7" spans="2:5" x14ac:dyDescent="0.25">
      <c r="B7" s="54"/>
      <c r="C7" s="54"/>
      <c r="E7" s="55"/>
    </row>
    <row r="8" ht="15" customHeight="1" spans="2:2" x14ac:dyDescent="0.25">
      <c r="B8" t="s">
        <v>42</v>
      </c>
    </row>
    <row r="9" spans="2:5" x14ac:dyDescent="0.25">
      <c r="B9" t="s">
        <v>43</v>
      </c>
      <c r="C9" s="56">
        <f>E3</f>
        <v>0</v>
      </c>
      <c r="D9" s="57"/>
      <c r="E9" s="58"/>
    </row>
    <row r="10" ht="14.4" customHeight="1" spans="2:4" x14ac:dyDescent="0.25">
      <c r="B10" t="s">
        <v>44</v>
      </c>
      <c r="C10" s="59" t="s">
        <v>45</v>
      </c>
      <c r="D10" s="60"/>
    </row>
    <row r="11" ht="14.4" customHeight="1" spans="2:4" x14ac:dyDescent="0.25">
      <c r="B11" t="s">
        <v>46</v>
      </c>
      <c r="C11" s="61" t="s">
        <v>47</v>
      </c>
      <c r="D11" s="62"/>
    </row>
    <row r="12" spans="3:4" x14ac:dyDescent="0.25">
      <c r="C12" s="63"/>
      <c r="D12" s="63"/>
    </row>
    <row r="13" spans="3:4" x14ac:dyDescent="0.25">
      <c r="C13" s="63"/>
      <c r="D13" s="63"/>
    </row>
    <row r="14" spans="3:4" x14ac:dyDescent="0.25">
      <c r="C14" s="63"/>
      <c r="D14" s="63"/>
    </row>
    <row r="15" spans="3:4" x14ac:dyDescent="0.25">
      <c r="C15" s="63"/>
      <c r="D15" s="63"/>
    </row>
    <row r="16" spans="3:4" x14ac:dyDescent="0.25">
      <c r="C16" s="63"/>
      <c r="D16" s="63"/>
    </row>
    <row r="17" spans="3:4" x14ac:dyDescent="0.25">
      <c r="C17" s="63"/>
      <c r="D17" s="63"/>
    </row>
    <row r="18" spans="3:4" x14ac:dyDescent="0.25">
      <c r="C18" s="63"/>
      <c r="D18" s="63"/>
    </row>
    <row r="24" ht="15" customHeight="1" spans="2:2" x14ac:dyDescent="0.25">
      <c r="B24" t="s">
        <v>48</v>
      </c>
    </row>
    <row r="25" ht="15" customHeight="1" spans="2:5" x14ac:dyDescent="0.25">
      <c r="B25" t="s">
        <v>43</v>
      </c>
      <c r="C25" s="56">
        <f>E5</f>
        <v>0</v>
      </c>
      <c r="D25" s="57"/>
      <c r="E25" s="58"/>
    </row>
    <row r="26" ht="15" customHeight="1" spans="2:5" x14ac:dyDescent="0.25">
      <c r="B26" t="s">
        <v>44</v>
      </c>
      <c r="C26" s="64"/>
      <c r="D26" s="65"/>
      <c r="E26" s="66"/>
    </row>
    <row r="27" ht="15" customHeight="1" spans="2:5" x14ac:dyDescent="0.25">
      <c r="B27" t="s">
        <v>46</v>
      </c>
      <c r="C27" s="67"/>
      <c r="D27" s="68"/>
      <c r="E27" s="62"/>
    </row>
  </sheetData>
  <mergeCells count="9">
    <mergeCell ref="C2:D2"/>
    <mergeCell ref="B3:B6"/>
    <mergeCell ref="C3:C4"/>
    <mergeCell ref="C5:C6"/>
    <mergeCell ref="C9:E9"/>
    <mergeCell ref="C10:D10"/>
    <mergeCell ref="C11:D11"/>
    <mergeCell ref="C25:E25"/>
    <mergeCell ref="C26:E26"/>
  </mergeCells>
  <hyperlinks>
    <hyperlink ref="C11" r:id="rId1"/>
  </hyperlinks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8.44140625" customWidth="1"/>
    <col min="6" max="6" width="2.6640625" customWidth="1"/>
    <col min="7" max="8" width="16.5546875" customWidth="1"/>
  </cols>
  <sheetData>
    <row r="2" spans="3:4" x14ac:dyDescent="0.25">
      <c r="C2" s="42">
        <f>Summary!D30</f>
        <v>0</v>
      </c>
      <c r="D2" s="43"/>
    </row>
    <row r="3" spans="2:5" x14ac:dyDescent="0.25">
      <c r="B3" s="44" t="str">
        <f>Summary!B31</f>
        <v>07_Privacy</v>
      </c>
      <c r="C3" s="45" t="s">
        <v>15</v>
      </c>
      <c r="D3" s="46" t="s">
        <v>5</v>
      </c>
      <c r="E3" s="70"/>
    </row>
    <row r="4" spans="2:5" x14ac:dyDescent="0.25">
      <c r="B4" s="48"/>
      <c r="C4" s="49"/>
      <c r="D4" s="50" t="s">
        <v>6</v>
      </c>
      <c r="E4" s="71"/>
    </row>
    <row r="5" spans="2:5" x14ac:dyDescent="0.25">
      <c r="B5" s="48"/>
      <c r="C5" s="49" t="s">
        <v>17</v>
      </c>
      <c r="D5" s="50" t="s">
        <v>5</v>
      </c>
      <c r="E5" s="72"/>
    </row>
    <row r="6" spans="2:5" x14ac:dyDescent="0.25">
      <c r="B6" s="51"/>
      <c r="C6" s="52"/>
      <c r="D6" s="53" t="s">
        <v>6</v>
      </c>
      <c r="E6" s="73"/>
    </row>
    <row r="7" spans="2:5" x14ac:dyDescent="0.25">
      <c r="B7" s="54"/>
      <c r="C7" s="54"/>
      <c r="E7" s="55"/>
    </row>
    <row r="8" spans="2:2" x14ac:dyDescent="0.25">
      <c r="B8" t="s">
        <v>42</v>
      </c>
    </row>
    <row r="9" spans="2:5" x14ac:dyDescent="0.25">
      <c r="B9" t="s">
        <v>43</v>
      </c>
      <c r="C9" s="56">
        <f>E3</f>
        <v>0</v>
      </c>
      <c r="D9" s="57"/>
      <c r="E9" s="58"/>
    </row>
    <row r="10" ht="14.4" customHeight="1" spans="2:4" x14ac:dyDescent="0.25">
      <c r="B10" t="s">
        <v>44</v>
      </c>
      <c r="C10" s="59" t="s">
        <v>45</v>
      </c>
      <c r="D10" s="60"/>
    </row>
    <row r="11" ht="14.4" customHeight="1" spans="2:4" x14ac:dyDescent="0.25">
      <c r="B11" t="s">
        <v>46</v>
      </c>
      <c r="C11" s="61" t="s">
        <v>47</v>
      </c>
      <c r="D11" s="62"/>
    </row>
    <row r="12" spans="3:4" x14ac:dyDescent="0.25">
      <c r="C12" s="63"/>
      <c r="D12" s="63"/>
    </row>
    <row r="13" spans="3:4" x14ac:dyDescent="0.25">
      <c r="C13" s="63"/>
      <c r="D13" s="63"/>
    </row>
    <row r="14" spans="3:4" x14ac:dyDescent="0.25">
      <c r="C14" s="63"/>
      <c r="D14" s="63"/>
    </row>
    <row r="15" spans="3:4" x14ac:dyDescent="0.25">
      <c r="C15" s="63"/>
      <c r="D15" s="63"/>
    </row>
    <row r="16" spans="3:4" x14ac:dyDescent="0.25">
      <c r="C16" s="63"/>
      <c r="D16" s="63"/>
    </row>
    <row r="24" ht="15" customHeight="1" spans="2:2" x14ac:dyDescent="0.25">
      <c r="B24" t="s">
        <v>48</v>
      </c>
    </row>
    <row r="25" ht="15" customHeight="1" spans="2:5" x14ac:dyDescent="0.25">
      <c r="B25" t="s">
        <v>43</v>
      </c>
      <c r="C25" s="56">
        <f>E5</f>
        <v>0</v>
      </c>
      <c r="D25" s="57"/>
      <c r="E25" s="58"/>
    </row>
    <row r="26" ht="15" customHeight="1" spans="2:5" x14ac:dyDescent="0.25">
      <c r="B26" t="s">
        <v>44</v>
      </c>
      <c r="C26" s="64"/>
      <c r="D26" s="65"/>
      <c r="E26" s="66"/>
    </row>
    <row r="27" ht="15" customHeight="1" spans="2:5" x14ac:dyDescent="0.25">
      <c r="B27" t="s">
        <v>46</v>
      </c>
      <c r="C27" s="67"/>
      <c r="D27" s="68"/>
      <c r="E27" s="62"/>
    </row>
  </sheetData>
  <mergeCells count="9">
    <mergeCell ref="C2:D2"/>
    <mergeCell ref="B3:B6"/>
    <mergeCell ref="C3:C4"/>
    <mergeCell ref="C5:C6"/>
    <mergeCell ref="C9:E9"/>
    <mergeCell ref="C10:D10"/>
    <mergeCell ref="C11:D11"/>
    <mergeCell ref="C25:E25"/>
    <mergeCell ref="C26:E26"/>
  </mergeCells>
  <hyperlinks>
    <hyperlink ref="C11" r:id="rId1"/>
  </hyperlinks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8.5546875" customWidth="1"/>
    <col min="6" max="6" width="2.6640625" customWidth="1"/>
    <col min="7" max="8" width="16.5546875" customWidth="1"/>
  </cols>
  <sheetData>
    <row r="2" spans="3:4" x14ac:dyDescent="0.25">
      <c r="C2" s="42">
        <f>Summary!D34</f>
        <v>0</v>
      </c>
      <c r="D2" s="43"/>
    </row>
    <row r="3" spans="2:5" x14ac:dyDescent="0.25">
      <c r="B3" s="44" t="str">
        <f>Summary!B35</f>
        <v>08_Game Testing</v>
      </c>
      <c r="C3" s="45" t="s">
        <v>15</v>
      </c>
      <c r="D3" s="46" t="s">
        <v>5</v>
      </c>
      <c r="E3" s="47"/>
    </row>
    <row r="4" spans="2:5" x14ac:dyDescent="0.25">
      <c r="B4" s="48"/>
      <c r="C4" s="49"/>
      <c r="D4" s="50" t="s">
        <v>6</v>
      </c>
      <c r="E4" s="47"/>
    </row>
    <row r="5" spans="2:5" x14ac:dyDescent="0.25">
      <c r="B5" s="48"/>
      <c r="C5" s="49" t="s">
        <v>17</v>
      </c>
      <c r="D5" s="50" t="s">
        <v>5</v>
      </c>
      <c r="E5" s="47"/>
    </row>
    <row r="6" spans="2:5" x14ac:dyDescent="0.25">
      <c r="B6" s="51"/>
      <c r="C6" s="52"/>
      <c r="D6" s="53" t="s">
        <v>6</v>
      </c>
      <c r="E6" s="47"/>
    </row>
    <row r="7" spans="2:5" x14ac:dyDescent="0.25">
      <c r="B7" s="54"/>
      <c r="C7" s="54"/>
      <c r="E7" s="55"/>
    </row>
    <row r="8" spans="2:2" x14ac:dyDescent="0.25">
      <c r="B8" t="s">
        <v>42</v>
      </c>
    </row>
    <row r="9" spans="2:5" x14ac:dyDescent="0.25">
      <c r="B9" t="s">
        <v>43</v>
      </c>
      <c r="C9" s="56">
        <f>E3</f>
        <v>0</v>
      </c>
      <c r="D9" s="57"/>
      <c r="E9" s="58"/>
    </row>
    <row r="10" ht="14.4" customHeight="1" spans="2:4" x14ac:dyDescent="0.25">
      <c r="B10" t="s">
        <v>44</v>
      </c>
      <c r="C10" s="74" t="s">
        <v>45</v>
      </c>
      <c r="D10" s="60"/>
    </row>
    <row r="11" ht="14.4" customHeight="1" spans="2:4" x14ac:dyDescent="0.25">
      <c r="B11" t="s">
        <v>46</v>
      </c>
      <c r="C11" s="61" t="s">
        <v>47</v>
      </c>
      <c r="D11" s="62"/>
    </row>
    <row r="12" spans="3:4" x14ac:dyDescent="0.25">
      <c r="C12" s="63"/>
      <c r="D12" s="63"/>
    </row>
    <row r="13" spans="3:4" x14ac:dyDescent="0.25">
      <c r="C13" s="63"/>
      <c r="D13" s="63"/>
    </row>
    <row r="14" spans="3:4" x14ac:dyDescent="0.25">
      <c r="C14" s="63"/>
      <c r="D14" s="63"/>
    </row>
    <row r="15" spans="3:4" x14ac:dyDescent="0.25">
      <c r="C15" s="63"/>
      <c r="D15" s="63"/>
    </row>
    <row r="16" spans="3:4" x14ac:dyDescent="0.25">
      <c r="C16" s="63"/>
      <c r="D16" s="63"/>
    </row>
    <row r="24" spans="2:2" x14ac:dyDescent="0.25">
      <c r="B24" t="s">
        <v>48</v>
      </c>
    </row>
    <row r="25" spans="2:5" x14ac:dyDescent="0.25">
      <c r="B25" t="s">
        <v>43</v>
      </c>
      <c r="C25" s="56">
        <f>E5</f>
        <v>0</v>
      </c>
      <c r="D25" s="57"/>
      <c r="E25" s="58"/>
    </row>
    <row r="26" spans="2:5" x14ac:dyDescent="0.25">
      <c r="B26" t="s">
        <v>44</v>
      </c>
      <c r="C26" s="64"/>
      <c r="D26" s="65"/>
      <c r="E26" s="66"/>
    </row>
    <row r="27" spans="2:5" x14ac:dyDescent="0.25">
      <c r="B27" t="s">
        <v>46</v>
      </c>
      <c r="C27" s="67"/>
      <c r="D27" s="68"/>
      <c r="E27" s="62"/>
    </row>
  </sheetData>
  <mergeCells count="8">
    <mergeCell ref="C2:D2"/>
    <mergeCell ref="B3:B6"/>
    <mergeCell ref="C3:C4"/>
    <mergeCell ref="C5:C6"/>
    <mergeCell ref="C9:E9"/>
    <mergeCell ref="C11:D11"/>
    <mergeCell ref="C25:E25"/>
    <mergeCell ref="C26:E26"/>
  </mergeCells>
  <hyperlinks>
    <hyperlink ref="C11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2025-08-06T06:42:08Z</dcterms:modified>
</cp:coreProperties>
</file>