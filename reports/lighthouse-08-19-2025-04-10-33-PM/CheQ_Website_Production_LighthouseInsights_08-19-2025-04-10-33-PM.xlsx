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8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'Formula_Sheet'!$L$6:$L$35</definedName>
  </definedNames>
  <calcPr calcId="171027"/>
</workbook>
</file>

<file path=xl/sharedStrings.xml><?xml version="1.0" encoding="utf-8"?>
<sst xmlns="http://schemas.openxmlformats.org/spreadsheetml/2006/main" count="238" uniqueCount="78">
  <si>
    <t>Lighthouse Insights</t>
  </si>
  <si>
    <t>Production</t>
  </si>
  <si>
    <t xml:space="preserve">Performance </t>
  </si>
  <si>
    <t>Page</t>
  </si>
  <si>
    <t>Device</t>
  </si>
  <si>
    <t>With Cache</t>
  </si>
  <si>
    <t>Without Cache</t>
  </si>
  <si>
    <t>Analysis Results</t>
  </si>
  <si>
    <t>Aug 19, 2025, 4:10:43 PM</t>
  </si>
  <si>
    <t>Aug 19, 2025, 4:11:42 PM</t>
  </si>
  <si>
    <t>01_Home</t>
  </si>
  <si>
    <t>Desktop</t>
  </si>
  <si>
    <t>Mobile</t>
  </si>
  <si>
    <t>Aug 19, 2025, 4:12:35 PM</t>
  </si>
  <si>
    <t>Aug 19, 2025, 4:12:19 PM</t>
  </si>
  <si>
    <t>02_Testing</t>
  </si>
  <si>
    <t>Aug 19, 2025, 4:13:13 PM</t>
  </si>
  <si>
    <t>Aug 19, 2025, 4:13:28 PM</t>
  </si>
  <si>
    <t>03_About</t>
  </si>
  <si>
    <t>Aug 19, 2025, 4:14:19 PM</t>
  </si>
  <si>
    <t>Aug 19, 2025, 4:15:44 PM</t>
  </si>
  <si>
    <t>04_News</t>
  </si>
  <si>
    <t>Aug 19, 2025, 4:16:05 PM</t>
  </si>
  <si>
    <t>Aug 19, 2025, 4:16:56 PM</t>
  </si>
  <si>
    <t>05_Careers</t>
  </si>
  <si>
    <t>Aug 19, 2025, 4:17:53 PM</t>
  </si>
  <si>
    <t>Aug 19, 2025, 4:17:34 PM</t>
  </si>
  <si>
    <t>06_Contact</t>
  </si>
  <si>
    <t>Aug 19, 2025, 4:18:41 PM</t>
  </si>
  <si>
    <t>Aug 19, 2025, 4:18:57 PM</t>
  </si>
  <si>
    <t>07_Privacy</t>
  </si>
  <si>
    <t>Aug 19, 2025, 4:20:35 PM</t>
  </si>
  <si>
    <t>Aug 19, 2025, 4:20:58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</si>
  <si>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</si>
  <si>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</si>
  <si>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</si>
  <si>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</si>
  <si>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</si>
  <si>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</si>
  <si>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</si>
  <si>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</si>
  <si>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</si>
  <si>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</si>
  <si>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</si>
  <si>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</si>
  <si>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</si>
  <si>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</si>
  <si>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Reduce JavaScript execution time — 1.6 s </t>
  </si>
  <si>
    <t>Learn how to reduce Javascript execution time</t>
  </si>
  <si>
    <t xml:space="preserve">Largest Contentful Paint element — 5,840 ms </t>
  </si>
  <si>
    <t>Learn more about the Largest Contentful Paint element</t>
  </si>
  <si>
    <t xml:space="preserve">Properly size images  </t>
  </si>
  <si>
    <t>Learn how to size images</t>
  </si>
  <si>
    <t xml:space="preserve">Eliminate render-blocking resources — Est savings of 230 ms </t>
  </si>
  <si>
    <t>Learn how to eliminate render-blocking resources</t>
  </si>
  <si>
    <t xml:space="preserve">Largest Contentful Paint element — 10,020 ms </t>
  </si>
  <si>
    <t xml:space="preserve">Eliminate render-blocking resources — Est savings of 420 ms </t>
  </si>
  <si>
    <t xml:space="preserve">Eliminate render-blocking resources — Est savings of 1,200 ms </t>
  </si>
  <si>
    <t xml:space="preserve">Eliminate render-blocking resources — Est savings of 1,430 ms </t>
  </si>
  <si>
    <t xml:space="preserve">Avoid large layout shifts — 1 layout shift found </t>
  </si>
  <si>
    <t>Learn how to improve CLS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</si>
  <si>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</si>
  <si>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</si>
  <si>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</si>
  <si>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</si>
  <si>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</si>
  <si>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</si>
  <si>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</si>
  <si>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Cache:</t>
  </si>
  <si>
    <t>Name</t>
  </si>
  <si>
    <t>Record performance value: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</si>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</sst>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2" fillId="2" borderId="1" xfId="0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0" fontId="6" fillId="0" borderId="5" xfId="0" applyFont="1" applyBorder="1" applyAlignment="1">
      <alignment horizontal="center"/>
    </xf>
    <xf numFmtId="0" fontId="1" fillId="0" borderId="0" xfId="0" applyFont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0" borderId="0" xfId="0" applyFont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0" borderId="23" xfId="0" applyFont="1" applyBorder="1"/>
    <xf numFmtId="0" fontId="2" fillId="6" borderId="23" xfId="0" applyFont="1" applyFill="1" applyBorder="1" applyAlignment="1">
      <alignment horizontal="left" vertical="top"/>
    </xf>
    <xf numFmtId="0" fontId="2" fillId="7" borderId="23" xfId="0" applyFont="1" applyFill="1" applyBorder="1" applyAlignment="1">
      <alignment horizontal="left" vertical="top"/>
    </xf>
    <xf numFmtId="1" fontId="2" fillId="6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7" borderId="23" xfId="0" applyNumberFormat="1" applyFont="1" applyFill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9647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1820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758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758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31368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73832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6923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>
      <selection activeCell="B7" sqref="B7"/>
    </sheetView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01.44140625" customWidth="1"/>
    <col min="8" max="8" width="21.10937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IF(OR(Formula_Sheet!L6=0,Formula_Sheet!L7=0),
"Fill performance score for Home page first!",
"The best recorded performance score was in " &amp; Formula_Sheet!J6 &amp; " devices " &amp; Formula_Sheet!J7 &amp; ", at " &amp; Formula_Sheet!L6 &amp; CHAR(10) &amp;
"The worst recorded performance score was in " &amp; Formula_Sheet!K6 &amp; " devices " &amp; Formula_Sheet!K7 &amp; ", at " &amp; Formula_Sheet!L7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77</v>
      </c>
      <c r="E7" s="18">
        <v>86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87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IF(OR(Formula_Sheet!L10=0,Formula_Sheet!L11=0),
"Fill performance score for Testing page first!",
"The best recorded performance score was in " &amp; Formula_Sheet!J10 &amp; " devices " &amp; Formula_Sheet!J11 &amp; ", at " &amp; Formula_Sheet!L10 &amp; CHAR(10) &amp;
"The worst recorded performance score was in " &amp; Formula_Sheet!K10 &amp; " devices " &amp; Formula_Sheet!K11 &amp; ", at " &amp; Formula_Sheet!L11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78</v>
      </c>
      <c r="E11" s="18">
        <v>77</v>
      </c>
      <c r="G11" s="19"/>
    </row>
    <row r="12" ht="15" customHeight="1" spans="2:7" x14ac:dyDescent="0.25">
      <c r="B12" s="20"/>
      <c r="C12" s="21" t="s">
        <v>12</v>
      </c>
      <c r="D12" s="18">
        <v>68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IF(OR(Formula_Sheet!L14=0,Formula_Sheet!L15=0),
"Fill performance score for About page first!",
"The best recorded performance score was in " &amp; Formula_Sheet!J14 &amp; " devices " &amp; Formula_Sheet!J15 &amp; ", at " &amp; Formula_Sheet!L14 &amp; CHAR(10) &amp;
"The worst recorded performance score was in " &amp; Formula_Sheet!K14 &amp; " devices " &amp; Formula_Sheet!K15 &amp; ", at " &amp; Formula_Sheet!L15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95</v>
      </c>
      <c r="E15" s="18">
        <v>94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IF(OR(Formula_Sheet!L18=0,Formula_Sheet!L19=0),
"Fill performance score for News page first!",
"The best recorded performance score was in " &amp; Formula_Sheet!J18 &amp; " devices " &amp; Formula_Sheet!J19 &amp; ", at " &amp; Formula_Sheet!L18 &amp; CHAR(10) &amp;
"The worst recorded performance score was in " &amp; Formula_Sheet!K18 &amp; " devices " &amp; Formula_Sheet!K19 &amp; ", at " &amp; Formula_Sheet!L19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84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IF(OR(Formula_Sheet!L22=0,Formula_Sheet!L23=0),
"Fill performance score for Careers page first!",
"The best recorded performance score was in " &amp; Formula_Sheet!J22 &amp; " devices " &amp; Formula_Sheet!J23 &amp; ", at " &amp; Formula_Sheet!L22 &amp; CHAR(10) &amp;
"The worst recorded performance score was in " &amp; Formula_Sheet!K22 &amp; " devices " &amp; Formula_Sheet!K23 &amp; ", at " &amp; Formula_Sheet!L23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93</v>
      </c>
      <c r="E23" s="18">
        <v>93</v>
      </c>
      <c r="F23" s="3"/>
      <c r="G23" s="19"/>
    </row>
    <row r="24" ht="15" customHeight="1" spans="2:7" x14ac:dyDescent="0.25">
      <c r="B24" s="20"/>
      <c r="C24" s="21" t="s">
        <v>12</v>
      </c>
      <c r="D24" s="18">
        <v>87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IF(OR(Formula_Sheet!L26=0,Formula_Sheet!L27=0),
"Fill performance score for Contact page first!",
"The best recorded performance score was in " &amp; Formula_Sheet!J26 &amp; " devices " &amp; Formula_Sheet!J27 &amp; ", at " &amp; Formula_Sheet!L26 &amp; CHAR(10) &amp;
"The worst recorded performance score was in " &amp; Formula_Sheet!K26 &amp; " devices " &amp; Formula_Sheet!K27 &amp; ", at " &amp; Formula_Sheet!L27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84</v>
      </c>
      <c r="E27" s="18">
        <v>84</v>
      </c>
      <c r="F27" s="3"/>
      <c r="G27" s="19"/>
    </row>
    <row r="28" ht="15" customHeight="1" spans="2:7" x14ac:dyDescent="0.25">
      <c r="B28" s="20"/>
      <c r="C28" s="21" t="s">
        <v>12</v>
      </c>
      <c r="D28" s="18">
        <v>94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IF(OR(Formula_Sheet!L30=0,Formula_Sheet!L31=0),
"Fill performance score for Privacy page first!",
"The best recorded performance score was in " &amp; Formula_Sheet!J30 &amp; " devices " &amp; Formula_Sheet!J31 &amp; ", at " &amp; Formula_Sheet!L30 &amp; CHAR(10) &amp;
"The worst recorded performance score was in " &amp; Formula_Sheet!K30 &amp; " devices " &amp; Formula_Sheet!K31 &amp; ", at " &amp; Formula_Sheet!L31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90</v>
      </c>
      <c r="E31" s="18">
        <v>93</v>
      </c>
      <c r="F31" s="3"/>
      <c r="G31" s="19"/>
    </row>
    <row r="32" ht="15" customHeight="1" spans="2:7" x14ac:dyDescent="0.25">
      <c r="B32" s="20"/>
      <c r="C32" s="21" t="s">
        <v>12</v>
      </c>
      <c r="D32" s="18">
        <v>90</v>
      </c>
      <c r="E32" s="18">
        <v>86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IF(OR(Formula_Sheet!L34=0,Formula_Sheet!L35=0),
"Fill performance score for Game Testing page first!",
"The best recorded performance score was in " &amp; Formula_Sheet!J34 &amp; " devices " &amp; Formula_Sheet!J35 &amp; ", at " &amp; Formula_Sheet!L34 &amp; CHAR(10) &amp;
"The worst recorded performance score was in " &amp; Formula_Sheet!K34 &amp; " devices " &amp; Formula_Sheet!K35 &amp; ", at " &amp; Formula_Sheet!L35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80</v>
      </c>
      <c r="F35" s="3"/>
      <c r="G35" s="19"/>
    </row>
    <row r="36" ht="15" customHeight="1" spans="2:7" x14ac:dyDescent="0.25">
      <c r="B36" s="20"/>
      <c r="C36" s="21" t="s">
        <v>12</v>
      </c>
      <c r="D36" s="18">
        <v>70</v>
      </c>
      <c r="E36" s="18">
        <v>74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 t="array" ref="G38">IF(OR(Formula_Sheet!J39=0,Formula_Sheet!K39=0),
"Kindly, fill the Performance Score first!",
"The best recorded performance score was in the " &amp; Formula_Sheet!J46 &amp; " page for " &amp; INDIRECT(Formula_Sheet!J43) &amp; " devices " &amp; Formula_Sheet!J35 &amp; ", at " &amp; Formula_Sheet!J39 &amp; CHAR(10) &amp;
"Refer to " &amp; Formula_Sheet!J45 &amp; " tab for the best insight, links for full diagnostic readings and recommendations for improvement." &amp; CHAR(10) &amp; CHAR(10) &amp;
"The worst recorded performance score was in the " &amp; Formula_Sheet!K46 &amp; " page for " &amp; INDIRECT(Formula_Sheet!K43) &amp; " devices " &amp; Formula_Sheet!K35 &amp; ", at " &amp; Formula_Sheet!K39 &amp; CHAR(10) &amp;
"Refer to " &amp; Formula_Sheet!K45 &amp; " tab for the worst insight, links for full diagnostic readings and recommendations for improvement."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31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1" operator="lessThan">
      <formula>1</formula>
    </cfRule>
    <cfRule type="cellIs" dxfId="1" priority="2" operator="lessThan">
      <formula>50</formula>
    </cfRule>
    <cfRule type="cellIs" dxfId="2" priority="3" operator="lessThan">
      <formula>90</formula>
    </cfRule>
  </conditionalFormatting>
  <conditionalFormatting sqref="D11:E12">
    <cfRule type="cellIs" dxfId="3" priority="4" operator="lessThan">
      <formula>1</formula>
    </cfRule>
    <cfRule type="cellIs" dxfId="4" priority="5" operator="lessThan">
      <formula>50</formula>
    </cfRule>
    <cfRule type="cellIs" dxfId="5" priority="6" operator="lessThan">
      <formula>90</formula>
    </cfRule>
  </conditionalFormatting>
  <conditionalFormatting sqref="D15:E16">
    <cfRule type="cellIs" dxfId="6" priority="7" operator="lessThan">
      <formula>1</formula>
    </cfRule>
    <cfRule type="cellIs" dxfId="7" priority="8" operator="lessThan">
      <formula>50</formula>
    </cfRule>
    <cfRule type="cellIs" dxfId="8" priority="9" operator="lessThan">
      <formula>90</formula>
    </cfRule>
  </conditionalFormatting>
  <conditionalFormatting sqref="D19:E20">
    <cfRule type="cellIs" dxfId="9" priority="10" operator="lessThan">
      <formula>1</formula>
    </cfRule>
    <cfRule type="cellIs" dxfId="10" priority="11" operator="lessThan">
      <formula>50</formula>
    </cfRule>
    <cfRule type="cellIs" dxfId="11" priority="12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HYPERLINK(".\html-08-19-2025-04-10-33-PM\www_cheqsystems_com-Desktop-Normal.report.html",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HYPERLINK(".\html-08-19-2025-04-10-33-PM\www_cheqsystems_com-Desktop-Incognito.report.html",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HYPERLINK(".\html-08-19-2025-04-10-33-PM\www_cheqsystems_com-Mobile-Normal.report.html",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HYPERLINK(".\html-08-19-2025-04-10-33-PM\www_cheqsystems_com-Mobile-Incognito.report.html",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47</v>
      </c>
      <c r="D26" s="57"/>
      <c r="E26" s="58"/>
    </row>
    <row r="27" ht="15" customHeight="1" spans="2:5" x14ac:dyDescent="0.25">
      <c r="B27" t="s">
        <v>44</v>
      </c>
      <c r="C27" s="53" t="s">
        <v>48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HYPERLINK(".\html-08-19-2025-04-10-33-PM\www_cheqsystems_com_testing-services-Desktop-Normal.report.html",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HYPERLINK(".\html-08-19-2025-04-10-33-PM\www_cheqsystems_com_testing-services-Desktop-Incognito.report.html",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HYPERLINK(".\html-08-19-2025-04-10-33-PM\www_cheqsystems_com_testing-services-Mobile-Normal.report.html",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HYPERLINK(".\html-08-19-2025-04-10-33-PM\www_cheqsystems_com_testing-services-Mobile-Incognito.report.html",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49</v>
      </c>
      <c r="D26" s="57"/>
      <c r="E26" s="58"/>
    </row>
    <row r="27" ht="15" customHeight="1" spans="2:5" x14ac:dyDescent="0.25">
      <c r="B27" t="s">
        <v>44</v>
      </c>
      <c r="C27" s="53" t="s">
        <v>50</v>
      </c>
      <c r="D27" s="59"/>
      <c r="E27" s="54"/>
    </row>
    <row r="30" spans="3:3" x14ac:dyDescent="0.25">
      <c r="C30" s="60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HYPERLINK(".\html-08-19-2025-04-10-33-PM\www_cheqsystems_com_about-Desktop-Normal.report.html",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HYPERLINK(".\html-08-19-2025-04-10-33-PM\www_cheqsystems_com_about-Desktop-Incognito.report.html",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HYPERLINK(".\html-08-19-2025-04-10-33-PM\www_cheqsystems_com_about-Mobile-Normal.report.html",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HYPERLINK(".\html-08-19-2025-04-10-33-PM\www_cheqsystems_com_about-Mobile-Incognito.report.html",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53</v>
      </c>
      <c r="D26" s="57"/>
      <c r="E26" s="58"/>
    </row>
    <row r="27" ht="15" customHeight="1" spans="2:5" x14ac:dyDescent="0.25">
      <c r="B27" t="s">
        <v>44</v>
      </c>
      <c r="C27" s="53" t="s">
        <v>54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HYPERLINK(".\html-08-19-2025-04-10-33-PM\www_cheqsystems_com_news-Desktop-Normal.report.html",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HYPERLINK(".\html-08-19-2025-04-10-33-PM\www_cheqsystems_com_news-Desktop-Incognito.report.html",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HYPERLINK(".\html-08-19-2025-04-10-33-PM\www_cheqsystems_com_news-Mobile-Normal.report.html",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HYPERLINK(".\html-08-19-2025-04-10-33-PM\www_cheqsystems_com_news-Mobile-Incognito.report.html",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55</v>
      </c>
      <c r="D26" s="57"/>
      <c r="E26" s="58"/>
    </row>
    <row r="27" ht="15" customHeight="1" spans="2:5" x14ac:dyDescent="0.25">
      <c r="B27" t="s">
        <v>44</v>
      </c>
      <c r="C27" s="53" t="s">
        <v>50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HYPERLINK(".\html-08-19-2025-04-10-33-PM\www_cheqsystems_com_careers-Desktop-Normal.report.html",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HYPERLINK(".\html-08-19-2025-04-10-33-PM\www_cheqsystems_com_careers-Desktop-Incognito.report.html",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HYPERLINK(".\html-08-19-2025-04-10-33-PM\www_cheqsystems_com_careers-Mobile-Normal.report.html",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HYPERLINK(".\html-08-19-2025-04-10-33-PM\www_cheqsystems_com_careers-Mobile-Incognito.report.html",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56</v>
      </c>
      <c r="D26" s="57"/>
      <c r="E26" s="58"/>
    </row>
    <row r="27" ht="15" customHeight="1" spans="2:5" x14ac:dyDescent="0.25">
      <c r="B27" t="s">
        <v>44</v>
      </c>
      <c r="C27" s="53" t="s">
        <v>54</v>
      </c>
      <c r="D27" s="59"/>
      <c r="E27" s="54"/>
    </row>
    <row r="29" spans="3:3" x14ac:dyDescent="0.25">
      <c r="C29" s="60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HYPERLINK(".\html-08-19-2025-04-10-33-PM\www_cheqsystems_com_contact-Desktop-Normal.report.html",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HYPERLINK(".\html-08-19-2025-04-10-33-PM\www_cheqsystems_com_contact-Desktop-Incognito.report.html",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HYPERLINK(".\html-08-19-2025-04-10-33-PM\www_cheqsystems_com_contact-Mobile-Normal.report.html",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HYPERLINK(".\html-08-19-2025-04-10-33-PM\www_cheqsystems_com_contact-Mobile-Incognito.report.html",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57</v>
      </c>
      <c r="D26" s="57"/>
      <c r="E26" s="58"/>
    </row>
    <row r="27" ht="15" customHeight="1" spans="2:5" x14ac:dyDescent="0.25">
      <c r="B27" t="s">
        <v>44</v>
      </c>
      <c r="C27" s="53" t="s">
        <v>54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HYPERLINK(".\html-08-19-2025-04-10-33-PM\www_cheqsystems_com_privacy-policy-Desktop-Normal.report.html",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HYPERLINK(".\html-08-19-2025-04-10-33-PM\www_cheqsystems_com_privacy-policy-Desktop-Incognito.report.html",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HYPERLINK(".\html-08-19-2025-04-10-33-PM\www_cheqsystems_com_privacy-policy-Mobile-Normal.report.html",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HYPERLINK(".\html-08-19-2025-04-10-33-PM\www_cheqsystems_com_privacy-policy-Mobile-Incognito.report.html",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58</v>
      </c>
      <c r="D26" s="57"/>
      <c r="E26" s="58"/>
    </row>
    <row r="27" ht="15" customHeight="1" spans="2:5" x14ac:dyDescent="0.25">
      <c r="B27" t="s">
        <v>44</v>
      </c>
      <c r="C27" s="53" t="s">
        <v>54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HYPERLINK(".\html-08-19-2025-04-10-33-PM\www_cheqsystems_com_game-testing-Desktop-Normal.report.html",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HYPERLINK(".\html-08-19-2025-04-10-33-PM\www_cheqsystems_com_game-testing-Desktop-Incognito.report.html",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HYPERLINK(".\html-08-19-2025-04-10-33-PM\www_cheqsystems_com_game-testing-Mobile-Normal.report.html",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HYPERLINK(".\html-08-19-2025-04-10-33-PM\www_cheqsystems_com_game-testing-Mobile-Incognito.report.html",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E3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6" t="s">
        <v>59</v>
      </c>
      <c r="D26" s="57"/>
      <c r="E26" s="58"/>
    </row>
    <row r="27" ht="15" customHeight="1" spans="2:5" x14ac:dyDescent="0.25">
      <c r="B27" t="s">
        <v>44</v>
      </c>
      <c r="C27" s="53" t="s">
        <v>60</v>
      </c>
      <c r="D27" s="59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O46"/>
  <sheetViews>
    <sheetView workbookViewId="0" zoomScale="100" zoomScaleNormal="100">
      <selection activeCell="J7" sqref="J7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65" customWidth="1"/>
    <col min="11" max="11" width="31.33203125" style="65" customWidth="1"/>
    <col min="12" max="12" width="29.33203125" style="65" customWidth="1"/>
    <col min="13" max="13" width="20.21875" style="65" customWidth="1"/>
    <col min="14" max="14" width="16.109375" style="65" customWidth="1"/>
    <col min="15" max="15" width="15.5546875" style="65" customWidth="1"/>
  </cols>
  <sheetData>
    <row r="3" spans="10:10" x14ac:dyDescent="0.25">
      <c r="J3" s="65"/>
    </row>
    <row r="5" spans="10:15" x14ac:dyDescent="0.25">
      <c r="J5" s="66" t="s">
        <v>61</v>
      </c>
      <c r="K5" s="67" t="s">
        <v>62</v>
      </c>
      <c r="L5" s="68" t="s">
        <v>63</v>
      </c>
      <c r="M5" t="s">
        <v>64</v>
      </c>
      <c r="N5" t="s">
        <v>65</v>
      </c>
      <c r="O5" t="s">
        <v>66</v>
      </c>
    </row>
    <row r="6" spans="9:15" x14ac:dyDescent="0.25">
      <c r="I6" s="68" t="s">
        <v>67</v>
      </c>
      <c r="J6" s="69" t="str">
        <f t="array" ref="J6">INDIRECT(M6)</f>
        <v>Desktop</v>
      </c>
      <c r="K6" s="70" t="str">
        <f t="array" ref="K6">INDIRECT(M7)</f>
        <v>Desktop</v>
      </c>
      <c r="L6" s="71">
        <f>MAX(Summary!D7:E8)</f>
        <v>0</v>
      </c>
      <c r="M6" s="65" t="str">
        <f>IF(LEFT(MID(N6,FIND("!",N6)+1,LEN(N6)),1)="D",
    LEFT(N6,FIND("!",N6)) &amp; CHAR(CODE(LEFT(MID(N6,FIND("!",N6)+1,LEN(N6)),1))-1) &amp; MID(MID(N6,FIND("!",N6)+1,LEN(N6)),2,LEN(MID(N6,FIND("!",N6)+1,LEN(N6)))),
    LEFT(N6,FIND("!",N6)) &amp; CHAR(CODE(LEFT(MID(N6,FIND("!",N6)+1,LEN(N6)),1))-2) &amp; MID(MID(N6,FIND("!",N6)+1,LEN(N6)),2,LEN(MID(N6,FIND("!",N6)+1,LEN(N6))))
)</f>
        <v>Summary!C7</v>
      </c>
      <c r="N6" s="72" t="str">
        <f t="array" ref="N6">"Summary!" &amp; ADDRESS(MIN(IF(Summary!D7:E8=L6,ROW(Summary!D7:E8))), MIN(IF(Summary!D7:E8=L6,COLUMN(Summary!D7:E8))), 4)</f>
        <v>Summary!D7</v>
      </c>
      <c r="O6" s="72" t="str">
        <f t="array" ref="O6">"Summary!" &amp; ADDRESS(MIN(IF(Summary!D7:E8=L7,ROW(Summary!D7:E8))), MIN(IF(Summary!D7:E8=L7,COLUMN(Summary!D7:E8))), 4)</f>
        <v>Summary!D7</v>
      </c>
    </row>
    <row r="7" spans="9:15" x14ac:dyDescent="0.25">
      <c r="I7" s="68" t="s">
        <v>68</v>
      </c>
      <c r="J7" s="69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K7" s="70" t="str">
        <f>IF(K6="Desktop",IF(Summary!D7=Summary!E7,"with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L7" s="73">
        <f>MIN(Summary!D7:E8)</f>
        <v>0</v>
      </c>
      <c r="M7" s="65" t="str">
        <f>IF(LEFT(MID(O6,FIND("!",O6)+1,LEN(O6)),1)="D",
    LEFT(O6,FIND("!",O6)) &amp; CHAR(CODE(LEFT(MID(O6,FIND("!",O6)+1,LEN(O6)),1))-1) &amp; MID(MID(O6,FIND("!",O6)+1,LEN(O6)),2,LEN(MID(O6,FIND("!",O6)+1,LEN(O6)))),
    LEFT(O6,FIND("!",O6)) &amp; CHAR(CODE(LEFT(MID(O6,FIND("!",O6)+1,LEN(O6)),1))-2) &amp; MID(MID(O6,FIND("!",O6)+1,LEN(O6)),2,LEN(MID(O6,FIND("!",O6)+1,LEN(O6))))
)</f>
        <v>Summary!C7</v>
      </c>
      <c r="N7" s="72"/>
      <c r="O7" s="72"/>
    </row>
    <row r="8" spans="13:15" x14ac:dyDescent="0.25">
      <c r="M8" s="72"/>
      <c r="N8" s="72"/>
      <c r="O8" s="72"/>
    </row>
    <row r="9" spans="12:12" x14ac:dyDescent="0.25">
      <c r="L9" s="68" t="s">
        <v>63</v>
      </c>
    </row>
    <row r="10" spans="9:15" x14ac:dyDescent="0.25">
      <c r="I10" s="68" t="s">
        <v>67</v>
      </c>
      <c r="J10" s="69" t="str">
        <f t="array" ref="J10">INDIRECT(M10)</f>
        <v>Desktop</v>
      </c>
      <c r="K10" s="70" t="str">
        <f t="array" ref="K10">INDIRECT(M11)</f>
        <v>Desktop</v>
      </c>
      <c r="L10" s="71">
        <f>MAX(Summary!D11:E12)</f>
        <v>0</v>
      </c>
      <c r="M10" s="65" t="str">
        <f>IF(LEFT(MID(N10,FIND("!",N10)+1,LEN(N10)),1)="D",
    LEFT(N10,FIND("!",N10)) &amp; CHAR(CODE(LEFT(MID(N10,FIND("!",N10)+1,LEN(N10)),1))-1) &amp; MID(MID(N10,FIND("!",N10)+1,LEN(N10)),2,LEN(MID(N10,FIND("!",N10)+1,LEN(N10)))),
    LEFT(N10,FIND("!",N10)) &amp; CHAR(CODE(LEFT(MID(N10,FIND("!",N10)+1,LEN(N10)),1))-2) &amp; MID(MID(N10,FIND("!",N10)+1,LEN(N10)),2,LEN(MID(N10,FIND("!",N10)+1,LEN(N10))))
)</f>
        <v>Summary!C11</v>
      </c>
      <c r="N10" s="72" t="str">
        <f t="array" ref="N10">"Summary!" &amp; ADDRESS(MIN(IF(Summary!D11:E12=L10,ROW(Summary!D11:E12))), MIN(IF(Summary!D11:E12=L10,COLUMN(Summary!D11:E12))), 4)</f>
        <v>Summary!D11</v>
      </c>
      <c r="O10" s="72" t="str">
        <f t="array" ref="O10">"Summary!" &amp; ADDRESS(MIN(IF(Summary!D11:E12=L11,ROW(Summary!D11:E12))), MIN(IF(Summary!D11:E12=L11,COLUMN(Summary!D11:E12))), 4)</f>
        <v>Summary!D11</v>
      </c>
    </row>
    <row r="11" spans="9:15" x14ac:dyDescent="0.25">
      <c r="I11" s="68" t="s">
        <v>68</v>
      </c>
      <c r="J11" s="69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K11" s="70" t="str">
        <f>IF(K10="Desktop",IF(Summary!D11=Summary!E11,"with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L11" s="73">
        <f>MIN(Summary!D11:E12)</f>
        <v>0</v>
      </c>
      <c r="M11" s="65" t="str">
        <f>IF(LEFT(MID(O10,FIND("!",O10)+1,LEN(O10)),1)="D",
    LEFT(O10,FIND("!",O10)) &amp; CHAR(CODE(LEFT(MID(O10,FIND("!",O10)+1,LEN(O10)),1))-1) &amp; MID(MID(O10,FIND("!",O10)+1,LEN(O10)),2,LEN(MID(O10,FIND("!",O10)+1,LEN(O10)))),
    LEFT(O10,FIND("!",O10)) &amp; CHAR(CODE(LEFT(MID(O10,FIND("!",O10)+1,LEN(O10)),1))-2) &amp; MID(MID(O10,FIND("!",O10)+1,LEN(O10)),2,LEN(MID(O10,FIND("!",O10)+1,LEN(O10))))
)</f>
        <v>Summary!C11</v>
      </c>
      <c r="N11" s="72"/>
      <c r="O11" s="72"/>
    </row>
    <row r="12" spans="12:15" x14ac:dyDescent="0.25">
      <c r="L12" s="72"/>
      <c r="M12" s="72"/>
      <c r="N12" s="72"/>
      <c r="O12" s="72"/>
    </row>
    <row r="13" spans="12:12" x14ac:dyDescent="0.25">
      <c r="L13" s="68" t="s">
        <v>63</v>
      </c>
    </row>
    <row r="14" spans="9:15" x14ac:dyDescent="0.25">
      <c r="I14" s="68" t="s">
        <v>67</v>
      </c>
      <c r="J14" s="69" t="str">
        <f t="array" ref="J14">INDIRECT(M14)</f>
        <v>Desktop</v>
      </c>
      <c r="K14" s="70" t="str">
        <f t="array" ref="K14">INDIRECT(M15)</f>
        <v>Desktop</v>
      </c>
      <c r="L14" s="71">
        <f>MAX(Summary!D15:E16)</f>
        <v>0</v>
      </c>
      <c r="M14" s="65" t="str">
        <f>IF(LEFT(MID(N14,FIND("!",N14)+1,LEN(N14)),1)="D",
    LEFT(N14,FIND("!",N14)) &amp; CHAR(CODE(LEFT(MID(N14,FIND("!",N14)+1,LEN(N14)),1))-1) &amp; MID(MID(N14,FIND("!",N14)+1,LEN(N14)),2,LEN(MID(N14,FIND("!",N14)+1,LEN(N14)))),
    LEFT(N14,FIND("!",N14)) &amp; CHAR(CODE(LEFT(MID(N14,FIND("!",N14)+1,LEN(N14)),1))-2) &amp; MID(MID(N14,FIND("!",N14)+1,LEN(N14)),2,LEN(MID(N14,FIND("!",N14)+1,LEN(N14))))
)</f>
        <v>Summary!C15</v>
      </c>
      <c r="N14" s="72" t="str">
        <f t="array" ref="N14">"Summary!" &amp; ADDRESS(MIN(IF(Summary!D15:E16=L14,ROW(Summary!D15:E16))), MIN(IF(Summary!D15:E16=L14,COLUMN(Summary!D15:E16))), 4)</f>
        <v>Summary!D15</v>
      </c>
      <c r="O14" s="72" t="str">
        <f t="array" ref="O14">"Summary!" &amp; ADDRESS(MIN(IF(Summary!D15:E16=L15,ROW(Summary!D15:E16))), MIN(IF(Summary!D15:E16=L15,COLUMN(Summary!D15:E16))), 4)</f>
        <v>Summary!D15</v>
      </c>
    </row>
    <row r="15" spans="9:15" x14ac:dyDescent="0.25">
      <c r="I15" s="68" t="s">
        <v>68</v>
      </c>
      <c r="J15" s="69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K15" s="70" t="str">
        <f>IF(K14="Desktop",IF(Summary!D15=Summary!E15,"with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L15" s="73">
        <f>MIN(Summary!D15:E16)</f>
        <v>0</v>
      </c>
      <c r="M15" s="65" t="str">
        <f>IF(LEFT(MID(O14,FIND("!",O14)+1,LEN(O14)),1)="D",
    LEFT(O14,FIND("!",O14)) &amp; CHAR(CODE(LEFT(MID(O14,FIND("!",O14)+1,LEN(O14)),1))-1) &amp; MID(MID(O14,FIND("!",O14)+1,LEN(O14)),2,LEN(MID(O14,FIND("!",O14)+1,LEN(O14)))),
    LEFT(O14,FIND("!",O14)) &amp; CHAR(CODE(LEFT(MID(O14,FIND("!",O14)+1,LEN(O14)),1))-2) &amp; MID(MID(O14,FIND("!",O14)+1,LEN(O14)),2,LEN(MID(O14,FIND("!",O14)+1,LEN(O14))))
)</f>
        <v>Summary!C15</v>
      </c>
      <c r="N15" s="72"/>
      <c r="O15" s="72"/>
    </row>
    <row r="16" spans="12:15" x14ac:dyDescent="0.25">
      <c r="L16" s="72"/>
      <c r="M16" s="72"/>
      <c r="N16" s="72"/>
      <c r="O16" s="72"/>
    </row>
    <row r="17" spans="12:12" x14ac:dyDescent="0.25">
      <c r="L17" s="68" t="s">
        <v>63</v>
      </c>
    </row>
    <row r="18" spans="9:15" x14ac:dyDescent="0.25">
      <c r="I18" s="68" t="s">
        <v>67</v>
      </c>
      <c r="J18" s="69" t="str">
        <f t="array" ref="J18">INDIRECT(M18)</f>
        <v>Desktop</v>
      </c>
      <c r="K18" s="70" t="str">
        <f t="array" ref="K18">INDIRECT(M19)</f>
        <v>Desktop</v>
      </c>
      <c r="L18" s="71">
        <f>MAX(Summary!D19:E20)</f>
        <v>0</v>
      </c>
      <c r="M18" s="65" t="str">
        <f>IF(LEFT(MID(N18,FIND("!",N18)+1,LEN(N18)),1)="D",
    LEFT(N18,FIND("!",N18)) &amp; CHAR(CODE(LEFT(MID(N18,FIND("!",N18)+1,LEN(N18)),1))-1) &amp; MID(MID(N18,FIND("!",N18)+1,LEN(N18)),2,LEN(MID(N18,FIND("!",N18)+1,LEN(N18)))),
    LEFT(N18,FIND("!",N18)) &amp; CHAR(CODE(LEFT(MID(N18,FIND("!",N18)+1,LEN(N18)),1))-2) &amp; MID(MID(N18,FIND("!",N18)+1,LEN(N18)),2,LEN(MID(N18,FIND("!",N18)+1,LEN(N18))))
)</f>
        <v>Summary!C19</v>
      </c>
      <c r="N18" s="72" t="str">
        <f t="array" ref="N18">"Summary!" &amp; ADDRESS(MIN(IF(Summary!D19:E20=L18,ROW(Summary!D19:E20))), MIN(IF(Summary!D19:E20=L18,COLUMN(Summary!D19:E20))), 4)</f>
        <v>Summary!D19</v>
      </c>
      <c r="O18" s="72" t="str">
        <f t="array" ref="O18">"Summary!" &amp; ADDRESS(MIN(IF(Summary!D19:E20=L19,ROW(Summary!D19:E20))), MIN(IF(Summary!D19:E20=L19,COLUMN(Summary!D19:E20))), 4)</f>
        <v>Summary!D19</v>
      </c>
    </row>
    <row r="19" spans="9:15" x14ac:dyDescent="0.25">
      <c r="I19" s="68" t="s">
        <v>68</v>
      </c>
      <c r="J19" s="69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K19" s="70" t="str">
        <f>IF(K18="Desktop",IF(Summary!D19=Summary!E19,"with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L19" s="73">
        <f>MIN(Summary!D19:E20)</f>
        <v>0</v>
      </c>
      <c r="M19" s="65" t="str">
        <f>IF(LEFT(MID(O18,FIND("!",O18)+1,LEN(O18)),1)="D",
    LEFT(O18,FIND("!",O18)) &amp; CHAR(CODE(LEFT(MID(O18,FIND("!",O18)+1,LEN(O18)),1))-1) &amp; MID(MID(O18,FIND("!",O18)+1,LEN(O18)),2,LEN(MID(O18,FIND("!",O18)+1,LEN(O18)))),
    LEFT(O18,FIND("!",O18)) &amp; CHAR(CODE(LEFT(MID(O18,FIND("!",O18)+1,LEN(O18)),1))-2) &amp; MID(MID(O18,FIND("!",O18)+1,LEN(O18)),2,LEN(MID(O18,FIND("!",O18)+1,LEN(O18))))
)</f>
        <v>Summary!C19</v>
      </c>
      <c r="N19" s="72"/>
      <c r="O19" s="72"/>
    </row>
    <row r="20" spans="12:15" x14ac:dyDescent="0.25">
      <c r="L20" s="72"/>
      <c r="M20" s="72"/>
      <c r="N20" s="72"/>
      <c r="O20" s="72"/>
    </row>
    <row r="21" spans="12:12" x14ac:dyDescent="0.25">
      <c r="L21" s="68" t="s">
        <v>63</v>
      </c>
    </row>
    <row r="22" spans="9:15" x14ac:dyDescent="0.25">
      <c r="I22" s="68" t="s">
        <v>67</v>
      </c>
      <c r="J22" s="69" t="str">
        <f t="array" ref="J22">INDIRECT(M22)</f>
        <v>Desktop</v>
      </c>
      <c r="K22" s="70" t="str">
        <f t="array" ref="K22">INDIRECT(M23)</f>
        <v>Desktop</v>
      </c>
      <c r="L22" s="71">
        <f>MAX(Summary!D23:E24)</f>
        <v>0</v>
      </c>
      <c r="M22" s="65" t="str">
        <f>IF(LEFT(MID(N22,FIND("!",N22)+1,LEN(N22)),1)="D",
    LEFT(N22,FIND("!",N22)) &amp; CHAR(CODE(LEFT(MID(N22,FIND("!",N22)+1,LEN(N22)),1))-1) &amp; MID(MID(N22,FIND("!",N22)+1,LEN(N22)),2,LEN(MID(N22,FIND("!",N22)+1,LEN(N22)))),
    LEFT(N22,FIND("!",N22)) &amp; CHAR(CODE(LEFT(MID(N22,FIND("!",N22)+1,LEN(N22)),1))-2) &amp; MID(MID(N22,FIND("!",N22)+1,LEN(N22)),2,LEN(MID(N22,FIND("!",N22)+1,LEN(N22))))
)</f>
        <v>Summary!C23</v>
      </c>
      <c r="N22" s="72" t="str">
        <f t="array" ref="N22">"Summary!" &amp; ADDRESS(MIN(IF(Summary!D23:E24=L22,ROW(Summary!D23:E24))), MIN(IF(Summary!D23:E24=L22,COLUMN(Summary!D23:E24))), 4)</f>
        <v>Summary!D23</v>
      </c>
      <c r="O22" s="72" t="str">
        <f t="array" ref="O22">"Summary!" &amp; ADDRESS(MIN(IF(Summary!D23:E24=L23,ROW(Summary!D23:E24))), MIN(IF(Summary!D23:E24=L23,COLUMN(Summary!D23:E24))), 4)</f>
        <v>Summary!D23</v>
      </c>
    </row>
    <row r="23" spans="9:15" x14ac:dyDescent="0.25">
      <c r="I23" s="68" t="s">
        <v>68</v>
      </c>
      <c r="J23" s="69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K23" s="70" t="str">
        <f>IF(K22="Desktop",IF(Summary!D23=Summary!E23,"with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L23" s="73">
        <f>MIN(Summary!D23:E24)</f>
        <v>0</v>
      </c>
      <c r="M23" s="65" t="str">
        <f>IF(LEFT(MID(O22,FIND("!",O22)+1,LEN(O22)),1)="D",
    LEFT(O22,FIND("!",O22)) &amp; CHAR(CODE(LEFT(MID(O22,FIND("!",O22)+1,LEN(O22)),1))-1) &amp; MID(MID(O22,FIND("!",O22)+1,LEN(O22)),2,LEN(MID(O22,FIND("!",O22)+1,LEN(O22)))),
    LEFT(O22,FIND("!",O22)) &amp; CHAR(CODE(LEFT(MID(O22,FIND("!",O22)+1,LEN(O22)),1))-2) &amp; MID(MID(O22,FIND("!",O22)+1,LEN(O22)),2,LEN(MID(O22,FIND("!",O22)+1,LEN(O22))))
)</f>
        <v>Summary!C23</v>
      </c>
      <c r="N23" s="72"/>
      <c r="O23" s="72"/>
    </row>
    <row r="24" spans="12:15" x14ac:dyDescent="0.25">
      <c r="L24" s="72"/>
      <c r="M24" s="72"/>
      <c r="N24" s="72"/>
      <c r="O24" s="72"/>
    </row>
    <row r="25" spans="12:12" x14ac:dyDescent="0.25">
      <c r="L25" s="68" t="s">
        <v>63</v>
      </c>
    </row>
    <row r="26" spans="9:15" x14ac:dyDescent="0.25">
      <c r="I26" s="68" t="s">
        <v>67</v>
      </c>
      <c r="J26" s="69" t="str">
        <f t="array" ref="J26">INDIRECT(M26)</f>
        <v>Desktop</v>
      </c>
      <c r="K26" s="70" t="str">
        <f t="array" ref="K26">INDIRECT(M27)</f>
        <v>Desktop</v>
      </c>
      <c r="L26" s="71">
        <f>MAX(Summary!D27:E28)</f>
        <v>0</v>
      </c>
      <c r="M26" s="65" t="str">
        <f>IF(LEFT(MID(N26,FIND("!",N26)+1,LEN(N26)),1)="D",
    LEFT(N26,FIND("!",N26)) &amp; CHAR(CODE(LEFT(MID(N26,FIND("!",N26)+1,LEN(N26)),1))-1) &amp; MID(MID(N26,FIND("!",N26)+1,LEN(N26)),2,LEN(MID(N26,FIND("!",N26)+1,LEN(N26)))),
    LEFT(N26,FIND("!",N26)) &amp; CHAR(CODE(LEFT(MID(N26,FIND("!",N26)+1,LEN(N26)),1))-2) &amp; MID(MID(N26,FIND("!",N26)+1,LEN(N26)),2,LEN(MID(N26,FIND("!",N26)+1,LEN(N26))))
)</f>
        <v>Summary!C27</v>
      </c>
      <c r="N26" s="72" t="str">
        <f t="array" ref="N26">"Summary!" &amp; ADDRESS(MIN(IF(Summary!D27:E28=L26,ROW(Summary!D27:E28))), MIN(IF(Summary!D27:E28=L26,COLUMN(Summary!D27:E28))), 4)</f>
        <v>Summary!D27</v>
      </c>
      <c r="O26" s="72" t="str">
        <f t="array" ref="O26">"Summary!" &amp; ADDRESS(MIN(IF(Summary!D27:E28=L27,ROW(Summary!D27:E28))), MIN(IF(Summary!D27:E28=L27,COLUMN(Summary!D27:E28))), 4)</f>
        <v>Summary!D27</v>
      </c>
    </row>
    <row r="27" spans="9:15" x14ac:dyDescent="0.25">
      <c r="I27" s="68" t="s">
        <v>68</v>
      </c>
      <c r="J27" s="69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K27" s="70" t="str">
        <f>IF(K26="Desktop",IF(Summary!D27=Summary!E27,"with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L27" s="73">
        <f>MIN(Summary!D27:E28)</f>
        <v>0</v>
      </c>
      <c r="M27" s="65" t="str">
        <f>IF(LEFT(MID(O26,FIND("!",O26)+1,LEN(O26)),1)="D",
    LEFT(O26,FIND("!",O26)) &amp; CHAR(CODE(LEFT(MID(O26,FIND("!",O26)+1,LEN(O26)),1))-1) &amp; MID(MID(O26,FIND("!",O26)+1,LEN(O26)),2,LEN(MID(O26,FIND("!",O26)+1,LEN(O26)))),
    LEFT(O26,FIND("!",O26)) &amp; CHAR(CODE(LEFT(MID(O26,FIND("!",O26)+1,LEN(O26)),1))-2) &amp; MID(MID(O26,FIND("!",O26)+1,LEN(O26)),2,LEN(MID(O26,FIND("!",O26)+1,LEN(O26))))
)</f>
        <v>Summary!C27</v>
      </c>
      <c r="N27" s="72"/>
      <c r="O27" s="72"/>
    </row>
    <row r="28" spans="12:15" x14ac:dyDescent="0.25">
      <c r="L28" s="72"/>
      <c r="M28" s="72"/>
      <c r="N28" s="72"/>
      <c r="O28" s="72"/>
    </row>
    <row r="29" spans="12:12" x14ac:dyDescent="0.25">
      <c r="L29" s="68" t="s">
        <v>63</v>
      </c>
    </row>
    <row r="30" spans="9:15" x14ac:dyDescent="0.25">
      <c r="I30" s="68" t="s">
        <v>67</v>
      </c>
      <c r="J30" s="69" t="str">
        <f t="array" ref="J30">INDIRECT(M30)</f>
        <v>Desktop</v>
      </c>
      <c r="K30" s="70" t="str">
        <f t="array" ref="K30">INDIRECT(M31)</f>
        <v>Desktop</v>
      </c>
      <c r="L30" s="71">
        <f>MAX(Summary!D31:E32)</f>
        <v>0</v>
      </c>
      <c r="M30" s="65" t="str">
        <f>IF(LEFT(MID(N30,FIND("!",N30)+1,LEN(N30)),1)="D",
    LEFT(N30,FIND("!",N30)) &amp; CHAR(CODE(LEFT(MID(N30,FIND("!",N30)+1,LEN(N30)),1))-1) &amp; MID(MID(N30,FIND("!",N30)+1,LEN(N30)),2,LEN(MID(N30,FIND("!",N30)+1,LEN(N30)))),
    LEFT(N30,FIND("!",N30)) &amp; CHAR(CODE(LEFT(MID(N30,FIND("!",N30)+1,LEN(N30)),1))-2) &amp; MID(MID(N30,FIND("!",N30)+1,LEN(N30)),2,LEN(MID(N30,FIND("!",N30)+1,LEN(N30))))
)</f>
        <v>Summary!C31</v>
      </c>
      <c r="N30" s="72" t="str">
        <f t="array" ref="N30">"Summary!" &amp; ADDRESS(MIN(IF(Summary!D31:E32=L30,ROW(Summary!D31:E32))), MIN(IF(Summary!D31:E32=L30,COLUMN(Summary!D31:E32))), 4)</f>
        <v>Summary!D31</v>
      </c>
      <c r="O30" s="72" t="str">
        <f t="array" ref="O30">"Summary!" &amp; ADDRESS(MIN(IF(Summary!D31:E32=L31,ROW(Summary!D31:E32))), MIN(IF(Summary!D31:E32=L31,COLUMN(Summary!D31:E32))), 4)</f>
        <v>Summary!D31</v>
      </c>
    </row>
    <row r="31" spans="9:15" x14ac:dyDescent="0.25">
      <c r="I31" s="68" t="s">
        <v>68</v>
      </c>
      <c r="J31" s="69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K31" s="70" t="str">
        <f>IF(K30="Desktop",IF(Summary!D31=Summary!E31,"with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L31" s="73">
        <f>MIN(Summary!D31:E32)</f>
        <v>0</v>
      </c>
      <c r="M31" s="65" t="str">
        <f>IF(LEFT(MID(O30,FIND("!",O30)+1,LEN(O30)),1)="D",
    LEFT(O30,FIND("!",O30)) &amp; CHAR(CODE(LEFT(MID(O30,FIND("!",O30)+1,LEN(O30)),1))-1) &amp; MID(MID(O30,FIND("!",O30)+1,LEN(O30)),2,LEN(MID(O30,FIND("!",O30)+1,LEN(O30)))),
    LEFT(O30,FIND("!",O30)) &amp; CHAR(CODE(LEFT(MID(O30,FIND("!",O30)+1,LEN(O30)),1))-2) &amp; MID(MID(O30,FIND("!",O30)+1,LEN(O30)),2,LEN(MID(O30,FIND("!",O30)+1,LEN(O30))))
)</f>
        <v>Summary!C31</v>
      </c>
      <c r="N31" s="72"/>
      <c r="O31" s="72"/>
    </row>
    <row r="32" spans="12:15" x14ac:dyDescent="0.25">
      <c r="L32" s="72"/>
      <c r="M32" s="72"/>
      <c r="N32" s="72"/>
      <c r="O32" s="72"/>
    </row>
    <row r="33" spans="12:12" x14ac:dyDescent="0.25">
      <c r="L33" s="68" t="s">
        <v>63</v>
      </c>
    </row>
    <row r="34" spans="9:15" x14ac:dyDescent="0.25">
      <c r="I34" s="68" t="s">
        <v>67</v>
      </c>
      <c r="J34" s="69" t="str">
        <f t="array" ref="J34">INDIRECT(M34)</f>
        <v>Desktop</v>
      </c>
      <c r="K34" s="70" t="str">
        <f t="array" ref="K34">INDIRECT(M35)</f>
        <v>Desktop</v>
      </c>
      <c r="L34" s="71">
        <f>MAX(Summary!D35:E36)</f>
        <v>0</v>
      </c>
      <c r="M34" s="65" t="str">
        <f>IF(LEFT(MID(N34,FIND("!",N34)+1,LEN(N34)),1)="D",
    LEFT(N34,FIND("!",N34)) &amp; CHAR(CODE(LEFT(MID(N34,FIND("!",N34)+1,LEN(N34)),1))-1) &amp; MID(MID(N34,FIND("!",N34)+1,LEN(N34)),2,LEN(MID(N34,FIND("!",N34)+1,LEN(N34)))),
    LEFT(N34,FIND("!",N34)) &amp; CHAR(CODE(LEFT(MID(N34,FIND("!",N34)+1,LEN(N34)),1))-2) &amp; MID(MID(N34,FIND("!",N34)+1,LEN(N34)),2,LEN(MID(N34,FIND("!",N34)+1,LEN(N34))))
)</f>
        <v>Summary!C35</v>
      </c>
      <c r="N34" s="72" t="str">
        <f t="array" ref="N34">"Summary!" &amp; ADDRESS(MIN(IF(Summary!D35:E36=L34,ROW(Summary!D35:E36))), MIN(IF(Summary!D35:E36=L34,COLUMN(Summary!D35:E36))), 4)</f>
        <v>Summary!D35</v>
      </c>
      <c r="O34" s="72" t="str">
        <f t="array" ref="O34">"Summary!" &amp; ADDRESS(MIN(IF(Summary!D35:E36=L35,ROW(Summary!D35:E36))), MIN(IF(Summary!D35:E36=L35,COLUMN(Summary!D35:E36))), 4)</f>
        <v>Summary!D35</v>
      </c>
    </row>
    <row r="35" spans="9:15" x14ac:dyDescent="0.25">
      <c r="I35" s="68" t="s">
        <v>68</v>
      </c>
      <c r="J35" s="69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K35" s="70" t="str">
        <f>IF(K34="Desktop",IF(Summary!D35=Summary!E35,"with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L35" s="73">
        <f>MIN(Summary!D35:E36)</f>
        <v>0</v>
      </c>
      <c r="M35" s="65" t="str">
        <f>IF(LEFT(MID(O34,FIND("!",O34)+1,LEN(O34)),1)="D",
    LEFT(O34,FIND("!",O34)) &amp; CHAR(CODE(LEFT(MID(O34,FIND("!",O34)+1,LEN(O34)),1))-1) &amp; MID(MID(O34,FIND("!",O34)+1,LEN(O34)),2,LEN(MID(O34,FIND("!",O34)+1,LEN(O34)))),
    LEFT(O34,FIND("!",O34)) &amp; CHAR(CODE(LEFT(MID(O34,FIND("!",O34)+1,LEN(O34)),1))-2) &amp; MID(MID(O34,FIND("!",O34)+1,LEN(O34)),2,LEN(MID(O34,FIND("!",O34)+1,LEN(O34))))
)</f>
        <v>Summary!C35</v>
      </c>
      <c r="N35" s="72"/>
      <c r="O35" s="72"/>
    </row>
    <row r="36" spans="12:15" x14ac:dyDescent="0.25">
      <c r="L36" s="72"/>
      <c r="M36" s="72"/>
      <c r="N36" s="72"/>
      <c r="O36" s="72"/>
    </row>
    <row r="37" spans="12:15" x14ac:dyDescent="0.25">
      <c r="L37" s="72"/>
      <c r="M37" s="72"/>
      <c r="N37" s="72"/>
      <c r="O37" s="72"/>
    </row>
    <row r="38" spans="9:15" x14ac:dyDescent="0.25">
      <c r="I38" s="68" t="s">
        <v>69</v>
      </c>
      <c r="J38" s="74" t="s">
        <v>61</v>
      </c>
      <c r="K38" s="74" t="s">
        <v>62</v>
      </c>
      <c r="L38" s="72"/>
      <c r="M38" s="72"/>
      <c r="N38" s="72"/>
      <c r="O38" s="72"/>
    </row>
    <row r="39" spans="9:15" x14ac:dyDescent="0.25">
      <c r="I39" s="68" t="s">
        <v>70</v>
      </c>
      <c r="J39" s="74">
        <f>MAX(formulaPerformanceSheet)</f>
        <v>0</v>
      </c>
      <c r="K39" s="74">
        <f>MIN(formulaPerformanceSheet)</f>
        <v>0</v>
      </c>
      <c r="L39" s="72"/>
      <c r="M39" s="72"/>
      <c r="N39" s="72"/>
      <c r="O39" s="72"/>
    </row>
    <row r="40" spans="9:15" x14ac:dyDescent="0.25">
      <c r="I40" s="68" t="s">
        <v>71</v>
      </c>
      <c r="J40" s="74" t="str">
        <f t="array" ref="J40">ADDRESS(MIN(IF(Summary!D7:E36=J39,ROW(Summary!D7:E36))), MIN(IF(Summary!D7:E36=J39,COLUMN(Summary!D7:E36))), 4)</f>
        <v>D7</v>
      </c>
      <c r="K40" s="74" t="str">
        <f t="array" ref="K40">ADDRESS(MIN(IF(Summary!D7:E36=K39,ROW(Summary!D7:E36))), MIN(IF(Summary!D7:E36=K39,COLUMN(Summary!D7:E36))), 4)</f>
        <v>D7</v>
      </c>
      <c r="L40" s="72"/>
      <c r="M40" s="72"/>
      <c r="N40" s="72"/>
      <c r="O40" s="72"/>
    </row>
    <row r="41" spans="9:11" x14ac:dyDescent="0.25">
      <c r="I41" s="68" t="s">
        <v>72</v>
      </c>
      <c r="J41" s="74" t="str">
        <f>"Summary!" &amp; IF(LEFT(J40,1)="D",
      CHAR(CODE(LEFT(J40,1)) + 1)&amp;MID(J40,2,99),
      J40)</f>
        <v>Summary!E7</v>
      </c>
      <c r="K41" s="74" t="str">
        <f>"Summary!" &amp; IF(LEFT(K40,1)="D",
      CHAR(CODE(LEFT(K40,1)) + 1)&amp;MID(K40,2,99),
      K40)</f>
        <v>Summary!E7</v>
      </c>
    </row>
    <row r="42" spans="9:11" x14ac:dyDescent="0.25">
      <c r="I42" s="68" t="s">
        <v>73</v>
      </c>
      <c r="J42" s="74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4" t="str">
        <f t="array" ref="K42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25">
      <c r="I43" s="68" t="s">
        <v>74</v>
      </c>
      <c r="J43" s="74" t="str">
        <f>"Summary!" &amp; IF(LEFT(J40,1)="D",
    CHAR(CODE(LEFT(J40,1)) - 1) &amp; MID(J40,2,99),
    CHAR(CODE(LEFT(J40,1)) - 2) &amp; MID(J40,2,99)
)</f>
        <v>Summary!C7</v>
      </c>
      <c r="K43" s="74" t="str">
        <f>"Summary!" &amp; IF(LEFT(K40,1)="D",
    CHAR(CODE(LEFT(K40,1)) - 1) &amp; MID(K40,2,99),
    CHAR(CODE(LEFT(K40,1)) - 2) &amp; MID(K40,2,99)
)</f>
        <v>Summary!C7</v>
      </c>
      <c r="L43" s="72"/>
      <c r="M43" s="72"/>
      <c r="N43" s="72"/>
      <c r="O43" s="72"/>
    </row>
    <row r="44" spans="9:11" x14ac:dyDescent="0.25">
      <c r="I44" s="68" t="s">
        <v>75</v>
      </c>
      <c r="J44" s="74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4" t="str">
        <f>"Summary!" &amp; CHAR(CODE(LEFT(K40,1))
    - IF(LEFT(K40,1)="E", 3,
        IF(LEFT(K40,1)="D", 2, 0)
    )
)
&amp; (MID(K40,2,99)
    - IF(LEFT(K40,1)="E", 1,
        IF(LEFT(K40,1)="D", 0, 0)
    )
)</f>
        <v>Summary!B7</v>
      </c>
    </row>
    <row r="45" spans="9:11" x14ac:dyDescent="0.25">
      <c r="I45" s="68" t="s">
        <v>76</v>
      </c>
      <c r="J45" s="74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4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</row>
    <row r="46" spans="9:11" x14ac:dyDescent="0.25">
      <c r="I46" s="68" t="s">
        <v>77</v>
      </c>
      <c r="J46" s="74" t="str">
        <f>RIGHT(J45, LEN(J45) - 3)</f>
        <v>Home</v>
      </c>
      <c r="K46" s="74" t="str">
        <f>RIGHT(K45, LEN(K45) - 3)</f>
        <v>Home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2025-08-19T05:34:50Z</dcterms:modified>
</cp:coreProperties>
</file>