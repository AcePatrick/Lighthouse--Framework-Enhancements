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eqteams-my.sharepoint.com/personal/vwlabajo_cheqsystems_com/Documents/Documents/Team - Performance Testing/PT - Documentation/CheQ Website Production Page Speed Insight/Template/"/>
    </mc:Choice>
  </mc:AlternateContent>
  <xr:revisionPtr revIDLastSave="0" documentId="6_{7C32EDFA-008E-471A-AAD0-C74752677659}" xr6:coauthVersionLast="47" xr6:coauthVersionMax="47" xr10:uidLastSave="{00000000-0000-0000-0000-000000000000}"/>
  <bookViews>
    <workbookView xWindow="-108" yWindow="-108" windowWidth="23256" windowHeight="12456" xr2:uid="{C37E2E45-7E9A-43D5-A28B-C770F3703849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</sheets>
  <definedNames>
    <definedName name="cacheRange">Summary!$J$7,Summary!$K$7,Summary!$J$11,Summary!$K$11,Summary!$J$15,Summary!$K$15,Summary!$J$19,Summary!$K$19,Summary!$J$23,Summary!$K$23,Summary!$J$27,Summary!$K$27,Summary!$J$31,Summary!$K$31</definedName>
    <definedName name="performanceRange" localSheetId="0">Summary!$L$6:$L$35</definedName>
    <definedName name="performanceValueRange" comment="This variable refers to the performance of all pages, for devices, cache, and without cache.">Summary!$L$6,Summary!$L$7,Summary!$L$10,Summary!$L$11,Summary!$L$14,Summary!$L$15,Summary!$L$18,Summary!$L$19,Summary!$L$22,Summary!$L$23,Summary!$L$26,Summary!$L$27,Summary!$L$30,Summary!$L$31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7" l="1"/>
  <c r="C25" i="8"/>
  <c r="B3" i="14"/>
  <c r="B3" i="13"/>
  <c r="B3" i="12"/>
  <c r="B3" i="11"/>
  <c r="B3" i="10"/>
  <c r="B3" i="9"/>
  <c r="B3" i="8"/>
  <c r="B3" i="7"/>
  <c r="C2" i="14"/>
  <c r="C25" i="14"/>
  <c r="C9" i="14"/>
  <c r="L35" i="1"/>
  <c r="O34" i="1" a="1"/>
  <c r="O34" i="1" s="1"/>
  <c r="M35" i="1" s="1"/>
  <c r="L34" i="1"/>
  <c r="N34" i="1" s="1" a="1"/>
  <c r="N34" i="1" s="1"/>
  <c r="M34" i="1" s="1"/>
  <c r="C2" i="13"/>
  <c r="C2" i="11"/>
  <c r="C2" i="12"/>
  <c r="C2" i="10"/>
  <c r="C2" i="9"/>
  <c r="C2" i="8"/>
  <c r="K34" i="1" a="1"/>
  <c r="J34" i="1" a="1"/>
  <c r="J34" i="1" l="1"/>
  <c r="K34" i="1"/>
  <c r="K35" i="1" s="1"/>
  <c r="J35" i="1"/>
  <c r="G34" i="1" s="1"/>
  <c r="L31" i="1"/>
  <c r="O30" i="1" s="1" a="1"/>
  <c r="O30" i="1" s="1"/>
  <c r="M31" i="1" s="1"/>
  <c r="L30" i="1"/>
  <c r="N30" i="1" s="1" a="1"/>
  <c r="N30" i="1" s="1"/>
  <c r="M30" i="1" s="1"/>
  <c r="L27" i="1"/>
  <c r="O26" i="1" s="1" a="1"/>
  <c r="O26" i="1" s="1"/>
  <c r="M27" i="1" s="1"/>
  <c r="L26" i="1"/>
  <c r="L23" i="1"/>
  <c r="O22" i="1" s="1" a="1"/>
  <c r="O22" i="1" s="1"/>
  <c r="M23" i="1" s="1"/>
  <c r="L22" i="1"/>
  <c r="N22" i="1" s="1" a="1"/>
  <c r="N22" i="1" s="1"/>
  <c r="M22" i="1" s="1"/>
  <c r="L19" i="1"/>
  <c r="O18" i="1" s="1" a="1"/>
  <c r="O18" i="1" s="1"/>
  <c r="M19" i="1" s="1"/>
  <c r="L18" i="1"/>
  <c r="N18" i="1" s="1" a="1"/>
  <c r="N18" i="1" s="1"/>
  <c r="M18" i="1" s="1"/>
  <c r="L15" i="1"/>
  <c r="O14" i="1" s="1" a="1"/>
  <c r="O14" i="1" s="1"/>
  <c r="M15" i="1" s="1"/>
  <c r="L14" i="1"/>
  <c r="N14" i="1" s="1" a="1"/>
  <c r="N14" i="1" s="1"/>
  <c r="M14" i="1" s="1"/>
  <c r="L11" i="1"/>
  <c r="O10" i="1" s="1" a="1"/>
  <c r="O10" i="1" s="1"/>
  <c r="M11" i="1" s="1"/>
  <c r="L10" i="1"/>
  <c r="N10" i="1" s="1" a="1"/>
  <c r="N10" i="1" s="1"/>
  <c r="M10" i="1" s="1"/>
  <c r="K18" i="1" a="1"/>
  <c r="K14" i="1" a="1"/>
  <c r="J10" i="1" a="1"/>
  <c r="J30" i="1" a="1"/>
  <c r="J18" i="1" a="1"/>
  <c r="J14" i="1" a="1"/>
  <c r="K26" i="1" a="1"/>
  <c r="K10" i="1" a="1"/>
  <c r="K22" i="1" a="1"/>
  <c r="K30" i="1" a="1"/>
  <c r="J22" i="1" a="1"/>
  <c r="N26" i="1" l="1" a="1"/>
  <c r="N26" i="1" s="1"/>
  <c r="M26" i="1" s="1"/>
  <c r="J30" i="1"/>
  <c r="K30" i="1"/>
  <c r="K31" i="1" s="1"/>
  <c r="K26" i="1"/>
  <c r="K27" i="1" s="1"/>
  <c r="J22" i="1"/>
  <c r="J23" i="1" s="1"/>
  <c r="K22" i="1"/>
  <c r="K23" i="1" s="1"/>
  <c r="J18" i="1"/>
  <c r="J19" i="1" s="1"/>
  <c r="K18" i="1"/>
  <c r="K19" i="1" s="1"/>
  <c r="J14" i="1"/>
  <c r="J15" i="1" s="1"/>
  <c r="K14" i="1"/>
  <c r="K15" i="1" s="1"/>
  <c r="J10" i="1"/>
  <c r="J11" i="1" s="1"/>
  <c r="K10" i="1"/>
  <c r="K11" i="1" s="1"/>
  <c r="L6" i="1"/>
  <c r="L7" i="1"/>
  <c r="O6" i="1" s="1" a="1"/>
  <c r="O6" i="1" s="1"/>
  <c r="M7" i="1" s="1"/>
  <c r="C2" i="7"/>
  <c r="C25" i="9"/>
  <c r="C25" i="12"/>
  <c r="C25" i="10"/>
  <c r="C25" i="11"/>
  <c r="C25" i="13"/>
  <c r="C9" i="13"/>
  <c r="C9" i="12"/>
  <c r="C9" i="11"/>
  <c r="C9" i="10"/>
  <c r="C9" i="9"/>
  <c r="C9" i="8"/>
  <c r="C9" i="7"/>
  <c r="K6" i="1" a="1"/>
  <c r="J26" i="1" a="1"/>
  <c r="J26" i="1" l="1"/>
  <c r="K39" i="1"/>
  <c r="K40" i="1" s="1" a="1"/>
  <c r="K40" i="1" s="1"/>
  <c r="K44" i="1" s="1"/>
  <c r="J39" i="1"/>
  <c r="J40" i="1" s="1" a="1"/>
  <c r="J40" i="1" s="1"/>
  <c r="J27" i="1"/>
  <c r="G26" i="1" s="1"/>
  <c r="J31" i="1"/>
  <c r="G30" i="1" s="1"/>
  <c r="G10" i="1"/>
  <c r="K6" i="1"/>
  <c r="K7" i="1" s="1"/>
  <c r="N6" i="1" a="1"/>
  <c r="N6" i="1" s="1"/>
  <c r="M6" i="1" s="1"/>
  <c r="G18" i="1"/>
  <c r="G22" i="1"/>
  <c r="G14" i="1"/>
  <c r="K45" i="1" a="1"/>
  <c r="J6" i="1" a="1"/>
  <c r="K45" i="1" l="1"/>
  <c r="K41" i="1"/>
  <c r="K43" i="1"/>
  <c r="J41" i="1"/>
  <c r="J43" i="1"/>
  <c r="J44" i="1"/>
  <c r="J6" i="1"/>
  <c r="J42" i="1" a="1"/>
  <c r="K48" i="1" a="1"/>
  <c r="K42" i="1" a="1"/>
  <c r="K48" i="1" l="1"/>
  <c r="J42" i="1"/>
  <c r="K42" i="1"/>
  <c r="J7" i="1"/>
  <c r="G6" i="1" s="1"/>
  <c r="K47" i="1" a="1"/>
  <c r="K47" i="1" l="1"/>
  <c r="K46" i="1" s="1"/>
  <c r="J45" i="1" a="1"/>
  <c r="J48" i="1" a="1"/>
  <c r="J45" i="1" l="1"/>
  <c r="J48" i="1"/>
  <c r="J47" i="1" a="1"/>
  <c r="J47" i="1" l="1"/>
  <c r="J46" i="1" s="1"/>
  <c r="G38" i="1" a="1"/>
  <c r="G38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<sst xmlns="http://schemas.openxmlformats.org/spreadsheetml/2006/main" count="205" uniqueCount="47">
  <si>
    <t>PageSpeed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</si>
  <si>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</si>
  <si>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</si>
  <si>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</si>
  <si>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</si>
  <si>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</si>
  <si>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</si>
  <si>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</si>
  <si>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</si>
  <si>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</si>
  <si>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</si>
  <si>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</si>
  <si>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</si>
  <si>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</si>
  <si>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</si>
  <si>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</si>
  <si>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</si>
  <si>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</si>
  <si>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</si>
  <si>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</si>
  <si>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</si>
  <si>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</si>
  <si>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</si>
  <si>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</si>
  <si>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</si>
  <si>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</si>
  <si>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</si>
  <si>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</si>
  <si>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</si>
  <si>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</si>
  <si>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</si>
  <si>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</si>
  <si>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</si>
  <si>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</si>
  <si>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</si>
  <si>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</si>
  <si>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</si>
  <si>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</si>
  <si>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</si>
  <si>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</si>
  <si>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</si>
  <si>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</si>
  <si>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</si>
  <si>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Defer offscreen images</t>
  </si>
  <si>
    <t>Recommendation:</t>
  </si>
  <si>
    <t>Learn how to defer offscreen images</t>
  </si>
  <si>
    <t>Worst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</si>
</sst>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mmm\ d\,\ yy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3" xfId="0" applyFill="1" applyBorder="1"/>
    <xf numFmtId="0" fontId="0" fillId="5" borderId="15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1" xfId="1" applyBorder="1"/>
    <xf numFmtId="0" fontId="5" fillId="0" borderId="4" xfId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22" xfId="1" applyBorder="1" applyAlignment="1">
      <alignment horizontal="left"/>
    </xf>
    <xf numFmtId="0" fontId="5" fillId="0" borderId="2" xfId="1" applyBorder="1" applyAlignment="1">
      <alignment horizontal="left"/>
    </xf>
    <xf numFmtId="0" fontId="1" fillId="0" borderId="0" xfId="0" applyFont="1"/>
    <xf numFmtId="20" fontId="0" fillId="5" borderId="4" xfId="0" quotePrefix="1" applyNumberFormat="1" applyFill="1" applyBorder="1" applyAlignment="1">
      <alignment horizontal="center" vertical="center"/>
    </xf>
    <xf numFmtId="164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10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1" fontId="0" fillId="7" borderId="10" xfId="0" applyNumberFormat="1" applyFill="1" applyBorder="1" applyAlignment="1">
      <alignment horizontal="left" vertical="top"/>
    </xf>
    <xf numFmtId="1" fontId="0" fillId="6" borderId="10" xfId="0" applyNumberFormat="1" applyFill="1" applyBorder="1" applyAlignment="1">
      <alignment horizontal="left" vertical="top"/>
    </xf>
    <xf numFmtId="20" fontId="0" fillId="5" borderId="22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6" xfId="1" applyBorder="1"/>
    <xf numFmtId="0" fontId="5" fillId="0" borderId="27" xfId="1" applyBorder="1"/>
    <xf numFmtId="0" fontId="5" fillId="0" borderId="28" xfId="1" applyBorder="1"/>
    <xf numFmtId="0" fontId="5" fillId="0" borderId="29" xfId="1" applyBorder="1"/>
    <xf numFmtId="0" fontId="0" fillId="5" borderId="2" xfId="0" applyFill="1" applyBorder="1" applyAlignment="1">
      <alignment horizontal="left"/>
    </xf>
    <xf numFmtId="0" fontId="6" fillId="0" borderId="0" xfId="0" applyFont="1"/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0" fillId="5" borderId="21" xfId="0" applyFill="1" applyBorder="1" applyAlignment="1">
      <alignment horizontal="left" vertical="top" wrapText="1"/>
    </xf>
    <xf numFmtId="0" fontId="0" fillId="5" borderId="1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22" xfId="0" applyFill="1" applyBorder="1"/>
    <xf numFmtId="0" fontId="0" fillId="5" borderId="2" xfId="0" applyFill="1" applyBorder="1"/>
    <xf numFmtId="165" fontId="0" fillId="0" borderId="11" xfId="0" quotePrefix="1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5" borderId="1" xfId="1" applyFill="1" applyBorder="1" applyAlignment="1"/>
    <xf numFmtId="0" fontId="5" fillId="5" borderId="22" xfId="1" applyFill="1" applyBorder="1" applyAlignment="1"/>
    <xf numFmtId="0" fontId="5" fillId="5" borderId="2" xfId="1" applyFill="1" applyBorder="1" applyAlignment="1"/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5" fillId="0" borderId="1" xfId="1" applyBorder="1" applyAlignment="1">
      <alignment horizontal="left"/>
    </xf>
    <xf numFmtId="0" fontId="5" fillId="0" borderId="2" xfId="1" applyBorder="1" applyAlignment="1">
      <alignment horizontal="left"/>
    </xf>
  </cellXfs>
  <cellStyles count="2">
    <cellStyle name="Hyperlink" xfId="1" builtinId="8"/>
    <cellStyle name="Normal" xfId="0" builtinId="0"/>
  </cellStyles>
  <dxfs count="16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7EB9A-6084-4497-A764-1BC71B7E8699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219325"/>
          <a:ext cx="8877300" cy="1295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12300-F126-4D9C-97C2-D10A8F0E5655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200275"/>
          <a:ext cx="8877300" cy="1295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E2C4F-528F-4CCD-84B1-FC2BFEFFC45B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257425"/>
          <a:ext cx="8877300" cy="1295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8B4D1A-F86F-48BA-BF04-2A24804F7EAB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257425"/>
          <a:ext cx="8877300" cy="1295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85C6E-6393-4B76-B446-C0AB608C2980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257425"/>
          <a:ext cx="8877300" cy="1295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C0987-0254-40BD-8131-5086609B56A9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257425"/>
          <a:ext cx="8877300" cy="1295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CBFD6-95BA-4D5A-B6B9-39BC356E8EF9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190750"/>
          <a:ext cx="8877300" cy="1295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ADFC0-E695-49D0-B5E0-865C7C62DDBD}"/>
            </a:ext>
            <a:ext uri="{147F2762-F138-4A5C-976F-8EAC2B608ADB}">
              <a16:predDERef xmlns:a16="http://schemas.microsoft.com/office/drawing/2014/main" pred="{7BF9F7BD-799B-B138-965D-EFE9317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2190750"/>
          <a:ext cx="887730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developer.chrome.com/docs/lighthouse/performance/offscreen-images/?utm_source=lighthouse&amp;utm_medium=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O48"/>
  <sheetViews>
    <sheetView tabSelected="1" zoomScale="85" zoomScaleNormal="85" workbookViewId="0"/>
  </sheetViews>
  <sheetFormatPr defaultColWidth="9.109375"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26" customWidth="1"/>
    <col min="6" max="6" width="2.6640625" customWidth="1"/>
    <col min="7" max="7" width="101.44140625" bestFit="1" customWidth="1"/>
    <col min="8" max="8" width="4.6640625" customWidth="1"/>
    <col min="9" max="9" width="33.33203125" hidden="1" customWidth="1"/>
    <col min="10" max="10" width="24.88671875" style="31" hidden="1" customWidth="1"/>
    <col min="11" max="11" width="31.33203125" style="31" hidden="1" customWidth="1"/>
    <col min="12" max="12" width="29.33203125" style="31" hidden="1" customWidth="1"/>
    <col min="13" max="13" width="14.109375" style="31" hidden="1" customWidth="1"/>
    <col min="14" max="14" width="16.109375" style="31" hidden="1" customWidth="1"/>
    <col min="15" max="15" width="15.5546875" style="31" hidden="1" customWidth="1"/>
    <col min="16" max="16" width="21.109375" customWidth="1"/>
  </cols>
  <sheetData>
    <row r="1" spans="1:15" ht="15" thickBot="1" x14ac:dyDescent="0.35"/>
    <row r="2" spans="1:15" ht="15" thickBot="1" x14ac:dyDescent="0.35">
      <c r="D2" s="55" t="s">
        <v>0</v>
      </c>
      <c r="E2" s="56"/>
      <c r="F2" s="6"/>
    </row>
    <row r="3" spans="1:15" ht="15" thickBot="1" x14ac:dyDescent="0.35">
      <c r="A3" s="4"/>
      <c r="B3" s="57" t="s">
        <v>1</v>
      </c>
      <c r="C3" s="58"/>
      <c r="D3" s="59" t="s">
        <v>2</v>
      </c>
      <c r="E3" s="60"/>
      <c r="F3" s="6"/>
      <c r="J3" s="42"/>
    </row>
    <row r="4" spans="1:15" ht="15" thickBot="1" x14ac:dyDescent="0.35">
      <c r="B4" s="8" t="s">
        <v>3</v>
      </c>
      <c r="C4" s="8" t="s">
        <v>4</v>
      </c>
      <c r="D4" s="7" t="s">
        <v>5</v>
      </c>
      <c r="E4" s="9" t="s">
        <v>6</v>
      </c>
      <c r="F4" s="6"/>
    </row>
    <row r="5" spans="1:15" ht="15" thickBot="1" x14ac:dyDescent="0.35">
      <c r="B5" s="8"/>
      <c r="C5" s="8"/>
      <c r="D5" s="6"/>
      <c r="F5" s="6"/>
      <c r="J5" s="35" t="s">
        <v>7</v>
      </c>
      <c r="K5" s="37" t="s">
        <v>8</v>
      </c>
      <c r="L5" s="30" t="s">
        <v>9</v>
      </c>
      <c r="M5" t="s">
        <v>10</v>
      </c>
      <c r="N5" t="s">
        <v>11</v>
      </c>
      <c r="O5" t="s">
        <v>12</v>
      </c>
    </row>
    <row r="6" spans="1:15" ht="15" customHeight="1" thickBot="1" x14ac:dyDescent="0.35">
      <c r="B6" s="8"/>
      <c r="C6" s="8"/>
      <c r="D6" s="27"/>
      <c r="E6" s="28"/>
      <c r="F6" s="6"/>
      <c r="G6" s="50" t="str">
        <f ca="1"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30" t="s">
        <v>13</v>
      </c>
      <c r="J6" s="36" t="str" cm="1">
        <f t="array" aca="1" ref="J6" ca="1">INDIRECT(M6)</f>
        <v>Desktop</v>
      </c>
      <c r="K6" s="38" t="str" cm="1">
        <f t="array" aca="1" ref="K6" ca="1">INDIRECT(M7)</f>
        <v>Desktop</v>
      </c>
      <c r="L6" s="40">
        <f>MAX(D7:E8)</f>
        <v>0</v>
      </c>
      <c r="M6" s="31" t="str">
        <f>IF(LEFT(N6,1)="D",
    CHAR(CODE(LEFT(N6,1)) - 1) &amp; MID(N6,2,99),
    CHAR(CODE(LEFT(N6,1)) - 2) &amp; MID(N6,2,99)
)</f>
        <v>C7</v>
      </c>
      <c r="N6" s="34" t="str" cm="1">
        <f t="array" ref="N6">ADDRESS(MIN(IF(D7:E8=L6,ROW(D7:E8))), MIN(IF(D7:E8=L6,COLUMN(D7:E8))), 4)</f>
        <v>D7</v>
      </c>
      <c r="O6" s="34" t="str" cm="1">
        <f t="array" ref="O6">ADDRESS(MIN(IF(D7:E8=L7,ROW(D7:E8))), MIN(IF(D7:E8=L7,COLUMN(D7:E8))), 4)</f>
        <v>D7</v>
      </c>
    </row>
    <row r="7" spans="1:15" ht="15" thickBot="1" x14ac:dyDescent="0.35">
      <c r="B7" s="53" t="s">
        <v>14</v>
      </c>
      <c r="C7" s="10" t="s">
        <v>15</v>
      </c>
      <c r="D7" s="29"/>
      <c r="E7" s="29"/>
      <c r="F7" s="6"/>
      <c r="G7" s="51"/>
      <c r="I7" s="30" t="s">
        <v>16</v>
      </c>
      <c r="J7" s="36" t="str">
        <f ca="1">IF(J6="Desktop",IF(D7=E7,"with and without cache",(IF(D7&gt;E7,"with cache","without cache"))),IF(D8=E8,"with and without cache",(IF(D8&gt;E8,"with cache","without cache"))))</f>
        <v>with and without cache</v>
      </c>
      <c r="K7" s="38" t="str">
        <f ca="1">IF(K6="Desktop",IF(D7=E7,"with and without cache",IF(D7&lt;E7,"with cache","without cache")),IF(D8=E8,"with and without cache",IF(D8&lt;E8,"with cache","without cache")))</f>
        <v>with and without cache</v>
      </c>
      <c r="L7" s="39">
        <f>MIN(D7:E8)</f>
        <v>0</v>
      </c>
      <c r="M7" s="34" t="str">
        <f>IF(LEFT(O6,1)="D",
    CHAR(CODE(LEFT(O6,1)) - 1) &amp; MID(O6,2,99),
    CHAR(CODE(LEFT(O6,1)) - 2) &amp; MID(O6,2,99)
)</f>
        <v>C7</v>
      </c>
      <c r="N7" s="34"/>
      <c r="O7" s="34"/>
    </row>
    <row r="8" spans="1:15" ht="15" thickBot="1" x14ac:dyDescent="0.35">
      <c r="B8" s="54"/>
      <c r="C8" s="11" t="s">
        <v>17</v>
      </c>
      <c r="D8" s="29"/>
      <c r="E8" s="29"/>
      <c r="F8" s="6"/>
      <c r="G8" s="52"/>
      <c r="M8" s="34"/>
      <c r="N8" s="34"/>
      <c r="O8" s="34"/>
    </row>
    <row r="9" spans="1:15" ht="15" thickBot="1" x14ac:dyDescent="0.35">
      <c r="B9" s="5"/>
      <c r="C9" s="6"/>
      <c r="D9" s="6"/>
      <c r="E9" s="6"/>
      <c r="F9" s="6"/>
      <c r="G9" s="6"/>
      <c r="L9" s="30" t="s">
        <v>9</v>
      </c>
      <c r="M9"/>
      <c r="N9"/>
      <c r="O9"/>
    </row>
    <row r="10" spans="1:15" ht="15" customHeight="1" thickBot="1" x14ac:dyDescent="0.35">
      <c r="B10" s="8"/>
      <c r="C10" s="8"/>
      <c r="D10" s="27"/>
      <c r="E10" s="27"/>
      <c r="F10" s="6"/>
      <c r="G10" s="50" t="str">
        <f ca="1"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30" t="s">
        <v>13</v>
      </c>
      <c r="J10" s="36" t="str" cm="1">
        <f t="array" aca="1" ref="J10" ca="1">INDIRECT(M10)</f>
        <v>Desktop</v>
      </c>
      <c r="K10" s="38" t="str" cm="1">
        <f t="array" aca="1" ref="K10" ca="1">INDIRECT(M11)</f>
        <v>Desktop</v>
      </c>
      <c r="L10" s="40">
        <f>MAX(D11:E12)</f>
        <v>0</v>
      </c>
      <c r="M10" s="31" t="str">
        <f>IF(LEFT(N10,1)="D",
    CHAR(CODE(LEFT(N10,1)) - 1) &amp; MID(N10,2,99),
    CHAR(CODE(LEFT(N10,1)) - 2) &amp; MID(N10,2,99)
)</f>
        <v>C11</v>
      </c>
      <c r="N10" s="34" t="str" cm="1">
        <f t="array" ref="N10">ADDRESS(MIN(IF(D11:E12=L10,ROW(D11:E12))), MIN(IF(D11:E12=L10,COLUMN(D11:E12))), 4)</f>
        <v>D11</v>
      </c>
      <c r="O10" s="34" t="str" cm="1">
        <f t="array" ref="O10">ADDRESS(MIN(IF(D11:E12=L11,ROW(D11:E12))), MIN(IF(D11:E12=L11,COLUMN(D11:E12))), 4)</f>
        <v>D11</v>
      </c>
    </row>
    <row r="11" spans="1:15" ht="15" thickBot="1" x14ac:dyDescent="0.35">
      <c r="B11" s="53" t="s">
        <v>18</v>
      </c>
      <c r="C11" s="10" t="s">
        <v>15</v>
      </c>
      <c r="D11" s="29"/>
      <c r="E11" s="29"/>
      <c r="G11" s="51"/>
      <c r="I11" s="30" t="s">
        <v>16</v>
      </c>
      <c r="J11" s="36" t="str">
        <f ca="1">IF(J10="Desktop",IF(D11=E11,"with and without cache",(IF(D11&gt;E11,"with cache","without cache"))),IF(D12=E12,"with and without cache",(IF(D12&gt;E12,"with cache","without cache"))))</f>
        <v>with and without cache</v>
      </c>
      <c r="K11" s="38" t="str">
        <f ca="1">IF(K10="Desktop",IF(D11=E11,"with and without cache",IF(D11&lt;E11,"with cache","without cache")),IF(D12=E12,"with and without cache",IF(D12&lt;E12,"with cache","without cache")))</f>
        <v>with and without cache</v>
      </c>
      <c r="L11" s="39">
        <f>MIN(D11:E12)</f>
        <v>0</v>
      </c>
      <c r="M11" s="34" t="str">
        <f>IF(LEFT(O10,1)="D",
    CHAR(CODE(LEFT(O10,1)) - 1) &amp; MID(O10,2,99),
    CHAR(CODE(LEFT(O10,1)) - 2) &amp; MID(O10,2,99)
)</f>
        <v>C11</v>
      </c>
      <c r="N11" s="34"/>
      <c r="O11" s="34"/>
    </row>
    <row r="12" spans="1:15" ht="15" thickBot="1" x14ac:dyDescent="0.35">
      <c r="B12" s="54"/>
      <c r="C12" s="11" t="s">
        <v>17</v>
      </c>
      <c r="D12" s="29"/>
      <c r="E12" s="29"/>
      <c r="F12" s="6"/>
      <c r="G12" s="52"/>
      <c r="L12" s="34"/>
      <c r="M12" s="34"/>
      <c r="N12" s="34"/>
      <c r="O12" s="34"/>
    </row>
    <row r="13" spans="1:15" ht="15" thickBot="1" x14ac:dyDescent="0.35">
      <c r="B13" s="5"/>
      <c r="C13" s="6"/>
      <c r="D13" s="15"/>
      <c r="E13" s="15"/>
      <c r="F13" s="6"/>
      <c r="G13" s="6"/>
      <c r="L13" s="30" t="s">
        <v>9</v>
      </c>
      <c r="M13"/>
      <c r="N13"/>
      <c r="O13"/>
    </row>
    <row r="14" spans="1:15" ht="15" customHeight="1" thickBot="1" x14ac:dyDescent="0.35">
      <c r="B14" s="8"/>
      <c r="C14" s="8"/>
      <c r="D14" s="27"/>
      <c r="E14" s="27"/>
      <c r="F14" s="6"/>
      <c r="G14" s="50" t="str">
        <f ca="1"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30" t="s">
        <v>13</v>
      </c>
      <c r="J14" s="36" t="str" cm="1">
        <f t="array" aca="1" ref="J14" ca="1">INDIRECT(M14)</f>
        <v>Desktop</v>
      </c>
      <c r="K14" s="38" t="str" cm="1">
        <f t="array" aca="1" ref="K14" ca="1">INDIRECT(M15)</f>
        <v>Desktop</v>
      </c>
      <c r="L14" s="40">
        <f>MAX(D15:E16)</f>
        <v>0</v>
      </c>
      <c r="M14" s="31" t="str">
        <f>IF(LEFT(N14,1)="D",
    CHAR(CODE(LEFT(N14,1)) - 1) &amp; MID(N14,2,99),
    CHAR(CODE(LEFT(N14,1)) - 2) &amp; MID(N14,2,99)
)</f>
        <v>C15</v>
      </c>
      <c r="N14" s="34" t="str" cm="1">
        <f t="array" ref="N14">ADDRESS(MIN(IF(D15:E16=L14,ROW(D15:E16))), MIN(IF(D15:E16=L14,COLUMN(D15:E16))), 4)</f>
        <v>D15</v>
      </c>
      <c r="O14" s="34" t="str" cm="1">
        <f t="array" ref="O14">ADDRESS(MIN(IF(D15:E16=L15,ROW(D15:E16))), MIN(IF(D15:E16=L15,COLUMN(D15:E16))), 4)</f>
        <v>D15</v>
      </c>
    </row>
    <row r="15" spans="1:15" ht="15" thickBot="1" x14ac:dyDescent="0.35">
      <c r="B15" s="53" t="s">
        <v>19</v>
      </c>
      <c r="C15" s="10" t="s">
        <v>15</v>
      </c>
      <c r="D15" s="29"/>
      <c r="E15" s="29"/>
      <c r="F15" s="6"/>
      <c r="G15" s="51"/>
      <c r="I15" s="30" t="s">
        <v>16</v>
      </c>
      <c r="J15" s="36" t="str">
        <f ca="1">IF(J14="Desktop",IF(D15=E15,"with and without cache",(IF(D15&gt;E15,"with cache","without cache"))),IF(D16=E16,"with and without cache",(IF(D16&gt;E16,"with cache","without cache"))))</f>
        <v>with and without cache</v>
      </c>
      <c r="K15" s="38" t="str">
        <f ca="1">IF(K14="Desktop",IF(D15=E15,"with and without cache",IF(D15&lt;E15,"with cache","without cache")),IF(D16=E16,"with and without cache",IF(D16&lt;E16,"with cache","without cache")))</f>
        <v>with and without cache</v>
      </c>
      <c r="L15" s="39">
        <f>MIN(D15:E16)</f>
        <v>0</v>
      </c>
      <c r="M15" s="34" t="str">
        <f>IF(LEFT(O14,1)="D",
    CHAR(CODE(LEFT(O14,1)) - 1) &amp; MID(O14,2,99),
    CHAR(CODE(LEFT(O14,1)) - 2) &amp; MID(O14,2,99)
)</f>
        <v>C15</v>
      </c>
      <c r="N15" s="34"/>
      <c r="O15" s="34"/>
    </row>
    <row r="16" spans="1:15" ht="15" thickBot="1" x14ac:dyDescent="0.35">
      <c r="B16" s="54"/>
      <c r="C16" s="11" t="s">
        <v>17</v>
      </c>
      <c r="D16" s="29"/>
      <c r="E16" s="29"/>
      <c r="F16" s="6"/>
      <c r="G16" s="52"/>
      <c r="L16" s="34"/>
      <c r="M16" s="34"/>
      <c r="N16" s="34"/>
      <c r="O16" s="34"/>
    </row>
    <row r="17" spans="2:15" ht="15" thickBot="1" x14ac:dyDescent="0.35">
      <c r="B17" s="5"/>
      <c r="C17" s="6"/>
      <c r="D17" s="15"/>
      <c r="E17" s="15"/>
      <c r="F17" s="6"/>
      <c r="G17" s="6"/>
      <c r="L17" s="30" t="s">
        <v>9</v>
      </c>
      <c r="M17"/>
      <c r="N17"/>
      <c r="O17"/>
    </row>
    <row r="18" spans="2:15" ht="15" customHeight="1" thickBot="1" x14ac:dyDescent="0.35">
      <c r="B18" s="8"/>
      <c r="C18" s="8"/>
      <c r="D18" s="27"/>
      <c r="E18" s="27"/>
      <c r="F18" s="6"/>
      <c r="G18" s="50" t="str">
        <f ca="1"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30" t="s">
        <v>13</v>
      </c>
      <c r="J18" s="36" t="str" cm="1">
        <f t="array" aca="1" ref="J18" ca="1">INDIRECT(M18)</f>
        <v>Desktop</v>
      </c>
      <c r="K18" s="38" t="str" cm="1">
        <f t="array" aca="1" ref="K18" ca="1">INDIRECT(M19)</f>
        <v>Desktop</v>
      </c>
      <c r="L18" s="40">
        <f>MAX(D19:E20)</f>
        <v>0</v>
      </c>
      <c r="M18" s="31" t="str">
        <f>IF(LEFT(N18,1)="D",
    CHAR(CODE(LEFT(N18,1)) - 1) &amp; MID(N18,2,99),
    CHAR(CODE(LEFT(N18,1)) - 2) &amp; MID(N18,2,99)
)</f>
        <v>C19</v>
      </c>
      <c r="N18" s="34" t="str" cm="1">
        <f t="array" ref="N18">ADDRESS(MIN(IF(D19:E20=L18,ROW(D19:E20))), MIN(IF(D19:E20=L18,COLUMN(D19:E20))), 4)</f>
        <v>D19</v>
      </c>
      <c r="O18" s="34" t="str" cm="1">
        <f t="array" ref="O18">ADDRESS(MIN(IF(D19:E20=L19,ROW(D19:E20))), MIN(IF(D19:E20=L19,COLUMN(D19:E20))), 4)</f>
        <v>D19</v>
      </c>
    </row>
    <row r="19" spans="2:15" ht="15" thickBot="1" x14ac:dyDescent="0.35">
      <c r="B19" s="53" t="s">
        <v>20</v>
      </c>
      <c r="C19" s="10" t="s">
        <v>15</v>
      </c>
      <c r="D19" s="29"/>
      <c r="E19" s="29"/>
      <c r="F19" s="6"/>
      <c r="G19" s="51"/>
      <c r="I19" s="30" t="s">
        <v>16</v>
      </c>
      <c r="J19" s="36" t="str">
        <f ca="1">IF(J18="Desktop",IF(D19=E19,"with and without cache",(IF(D19&gt;E19,"with cache","without cache"))),IF(D20=E20,"with and without cache",(IF(D20&gt;E20,"with cache","without cache"))))</f>
        <v>with and without cache</v>
      </c>
      <c r="K19" s="38" t="str">
        <f ca="1">IF(K18="Desktop",IF(D19=E19,"with and without cache",IF(D19&lt;E19,"with cache","without cache")),IF(D20=E20,"with and without cache",IF(D20&lt;E20,"with cache","without cache")))</f>
        <v>with and without cache</v>
      </c>
      <c r="L19" s="39">
        <f>MIN(D19:E20)</f>
        <v>0</v>
      </c>
      <c r="M19" s="34" t="str">
        <f>IF(LEFT(O18,1)="D",
    CHAR(CODE(LEFT(O18,1)) - 1) &amp; MID(O18,2,99),
    CHAR(CODE(LEFT(O18,1)) - 2) &amp; MID(O18,2,99)
)</f>
        <v>C19</v>
      </c>
      <c r="N19" s="34"/>
      <c r="O19" s="34"/>
    </row>
    <row r="20" spans="2:15" ht="15" thickBot="1" x14ac:dyDescent="0.35">
      <c r="B20" s="54"/>
      <c r="C20" s="11" t="s">
        <v>17</v>
      </c>
      <c r="D20" s="29"/>
      <c r="E20" s="29"/>
      <c r="F20" s="6"/>
      <c r="G20" s="52"/>
      <c r="L20" s="34"/>
      <c r="M20" s="34"/>
      <c r="N20" s="34"/>
      <c r="O20" s="34"/>
    </row>
    <row r="21" spans="2:15" ht="15" thickBot="1" x14ac:dyDescent="0.35">
      <c r="B21" s="5"/>
      <c r="C21" s="6"/>
      <c r="D21" s="15"/>
      <c r="E21" s="15"/>
      <c r="F21" s="6"/>
      <c r="G21" s="6"/>
      <c r="L21" s="30" t="s">
        <v>9</v>
      </c>
      <c r="M21"/>
      <c r="N21"/>
      <c r="O21"/>
    </row>
    <row r="22" spans="2:15" ht="15" customHeight="1" thickBot="1" x14ac:dyDescent="0.35">
      <c r="B22" s="8"/>
      <c r="C22" s="8"/>
      <c r="D22" s="27"/>
      <c r="E22" s="27"/>
      <c r="F22" s="6"/>
      <c r="G22" s="50" t="str">
        <f ca="1"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30" t="s">
        <v>13</v>
      </c>
      <c r="J22" s="36" t="str" cm="1">
        <f t="array" aca="1" ref="J22" ca="1">INDIRECT(M22)</f>
        <v>Desktop</v>
      </c>
      <c r="K22" s="38" t="str" cm="1">
        <f t="array" aca="1" ref="K22" ca="1">INDIRECT(M23)</f>
        <v>Desktop</v>
      </c>
      <c r="L22" s="40">
        <f>MAX(D23:E24)</f>
        <v>0</v>
      </c>
      <c r="M22" s="31" t="str">
        <f>IF(LEFT(N22,1)="D",
    CHAR(CODE(LEFT(N22,1)) - 1) &amp; MID(N22,2,99),
    CHAR(CODE(LEFT(N22,1)) - 2) &amp; MID(N22,2,99)
)</f>
        <v>C23</v>
      </c>
      <c r="N22" s="34" t="str" cm="1">
        <f t="array" ref="N22">ADDRESS(MIN(IF(D23:E24=L22,ROW(D23:E24))), MIN(IF(D23:E24=L22,COLUMN(D23:E24))), 4)</f>
        <v>D23</v>
      </c>
      <c r="O22" s="34" t="str" cm="1">
        <f t="array" ref="O22">ADDRESS(MIN(IF(D23:E24=L23,ROW(D23:E24))), MIN(IF(D23:E24=L23,COLUMN(D23:E24))), 4)</f>
        <v>D23</v>
      </c>
    </row>
    <row r="23" spans="2:15" ht="15" thickBot="1" x14ac:dyDescent="0.35">
      <c r="B23" s="53" t="s">
        <v>21</v>
      </c>
      <c r="C23" s="10" t="s">
        <v>15</v>
      </c>
      <c r="D23" s="29"/>
      <c r="E23" s="29"/>
      <c r="F23" s="6"/>
      <c r="G23" s="51"/>
      <c r="I23" s="30" t="s">
        <v>16</v>
      </c>
      <c r="J23" s="36" t="str">
        <f ca="1">IF(J22="Desktop",IF(D23=E23,"with and without cache",(IF(D23&gt;E23,"with cache","without cache"))),IF(D24=E24,"with and without cache",(IF(D24&gt;E24,"with cache","without cache"))))</f>
        <v>with and without cache</v>
      </c>
      <c r="K23" s="38" t="str">
        <f ca="1">IF(K22="Desktop",IF(D23=E23,"with and without cache",IF(D23&lt;E23,"with cache","without cache")),IF(D24=E24,"with and without cache",IF(D24&lt;E24,"with cache","without cache")))</f>
        <v>with and without cache</v>
      </c>
      <c r="L23" s="39">
        <f>MIN(D23:E24)</f>
        <v>0</v>
      </c>
      <c r="M23" s="34" t="str">
        <f>IF(LEFT(O22,1)="D",
    CHAR(CODE(LEFT(O22,1)) - 1) &amp; MID(O22,2,99),
    CHAR(CODE(LEFT(O22,1)) - 2) &amp; MID(O22,2,99)
)</f>
        <v>C23</v>
      </c>
      <c r="N23" s="34"/>
      <c r="O23" s="34"/>
    </row>
    <row r="24" spans="2:15" ht="15" thickBot="1" x14ac:dyDescent="0.35">
      <c r="B24" s="54"/>
      <c r="C24" s="11" t="s">
        <v>17</v>
      </c>
      <c r="D24" s="29"/>
      <c r="E24" s="29"/>
      <c r="F24" s="6"/>
      <c r="G24" s="52"/>
      <c r="L24" s="34"/>
      <c r="M24" s="34"/>
      <c r="N24" s="34"/>
      <c r="O24" s="34"/>
    </row>
    <row r="25" spans="2:15" ht="15" thickBot="1" x14ac:dyDescent="0.35">
      <c r="B25" s="5"/>
      <c r="C25" s="6"/>
      <c r="D25" s="15"/>
      <c r="E25" s="41"/>
      <c r="F25" s="6"/>
      <c r="G25" s="6"/>
      <c r="L25" s="30" t="s">
        <v>9</v>
      </c>
      <c r="M25"/>
      <c r="N25"/>
      <c r="O25"/>
    </row>
    <row r="26" spans="2:15" ht="15" customHeight="1" thickBot="1" x14ac:dyDescent="0.35">
      <c r="B26" s="8"/>
      <c r="C26" s="8"/>
      <c r="D26" s="27"/>
      <c r="E26" s="27"/>
      <c r="F26" s="6"/>
      <c r="G26" s="50" t="str">
        <f ca="1"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30" t="s">
        <v>13</v>
      </c>
      <c r="J26" s="36" t="str" cm="1">
        <f t="array" aca="1" ref="J26" ca="1">INDIRECT(M26)</f>
        <v>Desktop</v>
      </c>
      <c r="K26" s="38" t="str" cm="1">
        <f t="array" aca="1" ref="K26" ca="1">INDIRECT(M27)</f>
        <v>Desktop</v>
      </c>
      <c r="L26" s="40">
        <f>MAX(D27:E28)</f>
        <v>0</v>
      </c>
      <c r="M26" s="31" t="str">
        <f>IF(LEFT(N26,1)="D",
    CHAR(CODE(LEFT(N26,1)) - 1) &amp; MID(N26,2,99),
    CHAR(CODE(LEFT(N26,1)) - 2) &amp; MID(N26,2,99)
)</f>
        <v>C27</v>
      </c>
      <c r="N26" s="34" t="str" cm="1">
        <f t="array" ref="N26">ADDRESS(MIN(IF(D27:E28=L26,ROW(D27:E28))), MIN(IF(D27:E28=L26,COLUMN(D27:E28))), 4)</f>
        <v>D27</v>
      </c>
      <c r="O26" s="34" t="str" cm="1">
        <f t="array" ref="O26">ADDRESS(MIN(IF(D27:E28=L27,ROW(D27:E28))), MIN(IF(D27:E28=L27,COLUMN(D27:E28))), 4)</f>
        <v>D27</v>
      </c>
    </row>
    <row r="27" spans="2:15" ht="15" thickBot="1" x14ac:dyDescent="0.35">
      <c r="B27" s="53" t="s">
        <v>22</v>
      </c>
      <c r="C27" s="10" t="s">
        <v>15</v>
      </c>
      <c r="D27" s="29"/>
      <c r="E27" s="29"/>
      <c r="F27" s="6"/>
      <c r="G27" s="51"/>
      <c r="I27" s="30" t="s">
        <v>16</v>
      </c>
      <c r="J27" s="36" t="str">
        <f ca="1">IF(J26="Desktop",IF(D27=E27,"with and without cache",(IF(D27&gt;E27,"with cache","without cache"))),IF(D28=E28,"with and without cache",(IF(D28&gt;E28,"with cache","without cache"))))</f>
        <v>with and without cache</v>
      </c>
      <c r="K27" s="38" t="str">
        <f ca="1">IF(K26="Desktop",IF(D27=E27,"with and without cache",IF(D27&lt;E27,"with cache","without cache")),IF(D28=E28,"with and without cache",IF(D28&lt;E28,"with cache","without cache")))</f>
        <v>with and without cache</v>
      </c>
      <c r="L27" s="39">
        <f>MIN(D27:E28)</f>
        <v>0</v>
      </c>
      <c r="M27" s="34" t="str">
        <f>IF(LEFT(O26,1)="D",
    CHAR(CODE(LEFT(O26,1)) - 1) &amp; MID(O26,2,99),
    CHAR(CODE(LEFT(O26,1)) - 2) &amp; MID(O26,2,99)
)</f>
        <v>C27</v>
      </c>
      <c r="N27" s="34"/>
      <c r="O27" s="34"/>
    </row>
    <row r="28" spans="2:15" ht="15" thickBot="1" x14ac:dyDescent="0.35">
      <c r="B28" s="54"/>
      <c r="C28" s="11" t="s">
        <v>17</v>
      </c>
      <c r="D28" s="29"/>
      <c r="E28" s="29"/>
      <c r="F28" s="6"/>
      <c r="G28" s="52"/>
      <c r="L28" s="34"/>
      <c r="M28" s="34"/>
      <c r="N28" s="34"/>
      <c r="O28" s="34"/>
    </row>
    <row r="29" spans="2:15" ht="15" thickBot="1" x14ac:dyDescent="0.35">
      <c r="B29" s="5"/>
      <c r="C29" s="6"/>
      <c r="D29" s="15"/>
      <c r="E29" s="15"/>
      <c r="F29" s="6"/>
      <c r="G29" s="6"/>
      <c r="L29" s="30" t="s">
        <v>9</v>
      </c>
      <c r="M29"/>
      <c r="N29"/>
      <c r="O29"/>
    </row>
    <row r="30" spans="2:15" ht="15" customHeight="1" thickBot="1" x14ac:dyDescent="0.35">
      <c r="B30" s="8"/>
      <c r="C30" s="8"/>
      <c r="D30" s="27"/>
      <c r="E30" s="27"/>
      <c r="F30" s="6"/>
      <c r="G30" s="50" t="str">
        <f ca="1"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30" t="s">
        <v>13</v>
      </c>
      <c r="J30" s="36" t="str" cm="1">
        <f t="array" aca="1" ref="J30" ca="1">INDIRECT(M30)</f>
        <v>Desktop</v>
      </c>
      <c r="K30" s="38" t="str" cm="1">
        <f t="array" aca="1" ref="K30" ca="1">INDIRECT(M31)</f>
        <v>Desktop</v>
      </c>
      <c r="L30" s="40">
        <f>MAX(D31:E32)</f>
        <v>0</v>
      </c>
      <c r="M30" s="31" t="str">
        <f>IF(LEFT(N30,1)="D",
    CHAR(CODE(LEFT(N30,1)) - 1) &amp; MID(N30,2,99),
    CHAR(CODE(LEFT(N30,1)) - 2) &amp; MID(N30,2,99)
)</f>
        <v>C31</v>
      </c>
      <c r="N30" s="34" t="str" cm="1">
        <f t="array" ref="N30">ADDRESS(MIN(IF(D31:E32=L30,ROW(D31:E32))), MIN(IF(D31:E32=L30,COLUMN(D31:E32))), 4)</f>
        <v>D31</v>
      </c>
      <c r="O30" s="34" t="str" cm="1">
        <f t="array" ref="O30">ADDRESS(MIN(IF(D31:E32=L31,ROW(D31:E32))), MIN(IF(D31:E32=L31,COLUMN(D31:E32))), 4)</f>
        <v>D31</v>
      </c>
    </row>
    <row r="31" spans="2:15" ht="15" thickBot="1" x14ac:dyDescent="0.35">
      <c r="B31" s="53" t="s">
        <v>23</v>
      </c>
      <c r="C31" s="10" t="s">
        <v>15</v>
      </c>
      <c r="D31" s="29"/>
      <c r="E31" s="29"/>
      <c r="F31" s="6"/>
      <c r="G31" s="51"/>
      <c r="I31" s="30" t="s">
        <v>16</v>
      </c>
      <c r="J31" s="36" t="str">
        <f ca="1">IF(J30="Desktop",IF(D31=E31,"with and without cache",(IF(D31&gt;E31,"with cache","without cache"))),IF(D32=E32,"with and without cache",(IF(D32&gt;E32,"with cache","without cache"))))</f>
        <v>with and without cache</v>
      </c>
      <c r="K31" s="38" t="str">
        <f ca="1">IF(K30="Desktop",IF(D31=E31,"with and without cache",IF(D31&lt;E31,"with cache","without cache")),IF(D32=E32,"with and without cache",IF(D32&lt;E32,"with cache","without cache")))</f>
        <v>with and without cache</v>
      </c>
      <c r="L31" s="39">
        <f>MIN(D31:E32)</f>
        <v>0</v>
      </c>
      <c r="M31" s="34" t="str">
        <f>IF(LEFT(O30,1)="D",
    CHAR(CODE(LEFT(O30,1)) - 1) &amp; MID(O30,2,99),
    CHAR(CODE(LEFT(O30,1)) - 2) &amp; MID(O30,2,99)
)</f>
        <v>C31</v>
      </c>
      <c r="N31" s="34"/>
      <c r="O31" s="34"/>
    </row>
    <row r="32" spans="2:15" x14ac:dyDescent="0.3">
      <c r="B32" s="54"/>
      <c r="C32" s="11" t="s">
        <v>17</v>
      </c>
      <c r="D32" s="29"/>
      <c r="E32" s="29"/>
      <c r="F32" s="6"/>
      <c r="G32" s="52"/>
      <c r="L32" s="34"/>
      <c r="M32" s="34"/>
      <c r="N32" s="34"/>
      <c r="O32" s="34"/>
    </row>
    <row r="33" spans="2:15" x14ac:dyDescent="0.3">
      <c r="B33" s="5"/>
      <c r="C33" s="6"/>
      <c r="D33" s="15"/>
      <c r="E33" s="15"/>
      <c r="F33" s="6"/>
      <c r="G33" s="43"/>
      <c r="L33" s="30" t="s">
        <v>9</v>
      </c>
      <c r="M33"/>
      <c r="N33"/>
      <c r="O33"/>
    </row>
    <row r="34" spans="2:15" ht="14.4" customHeight="1" x14ac:dyDescent="0.3">
      <c r="B34" s="8"/>
      <c r="C34" s="8"/>
      <c r="D34" s="27"/>
      <c r="E34" s="27"/>
      <c r="F34" s="6"/>
      <c r="G34" s="50" t="str">
        <f ca="1"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30" t="s">
        <v>13</v>
      </c>
      <c r="J34" s="36" t="str" cm="1">
        <f t="array" aca="1" ref="J34" ca="1">INDIRECT(M34)</f>
        <v>Desktop</v>
      </c>
      <c r="K34" s="38" t="str" cm="1">
        <f t="array" aca="1" ref="K34" ca="1">INDIRECT(M35)</f>
        <v>Desktop</v>
      </c>
      <c r="L34" s="40">
        <f>MAX(D35:E36)</f>
        <v>0</v>
      </c>
      <c r="M34" s="31" t="str">
        <f>IF(LEFT(N34,1)="D",
    CHAR(CODE(LEFT(N34,1)) - 1) &amp; MID(N34,2,99),
    CHAR(CODE(LEFT(N34,1)) - 2) &amp; MID(N34,2,99)
)</f>
        <v>C35</v>
      </c>
      <c r="N34" s="34" t="str" cm="1">
        <f t="array" ref="N34">ADDRESS(MIN(IF(D35:E36=L34,ROW(D35:E36))), MIN(IF(D35:E36=L34,COLUMN(D35:E36))), 4)</f>
        <v>D35</v>
      </c>
      <c r="O34" s="34" t="str" cm="1">
        <f t="array" ref="O34">ADDRESS(MIN(IF(D35:E36=L35,ROW(D35:E36))), MIN(IF(D35:E36=L35,COLUMN(D35:E36))), 4)</f>
        <v>D35</v>
      </c>
    </row>
    <row r="35" spans="2:15" x14ac:dyDescent="0.3">
      <c r="B35" s="53" t="s">
        <v>24</v>
      </c>
      <c r="C35" s="10" t="s">
        <v>15</v>
      </c>
      <c r="D35" s="29"/>
      <c r="E35" s="29"/>
      <c r="F35" s="6"/>
      <c r="G35" s="51"/>
      <c r="I35" s="30" t="s">
        <v>16</v>
      </c>
      <c r="J35" s="36" t="str">
        <f ca="1">IF(J34="Desktop",IF(D35=E35,"with and without cache",(IF(D35&gt;E35,"with cache","without cache"))),IF(D36=E36,"with and without cache",(IF(D36&gt;E36,"with cache","without cache"))))</f>
        <v>with and without cache</v>
      </c>
      <c r="K35" s="38" t="str">
        <f ca="1">IF(K34="Desktop",IF(D35=E35,"with and without cache",IF(D35&lt;E35,"with cache","without cache")),IF(D36=E36,"with and without cache",IF(D36&lt;E36,"with cache","without cache")))</f>
        <v>with and without cache</v>
      </c>
      <c r="L35" s="39">
        <f>MIN(D35:E36)</f>
        <v>0</v>
      </c>
      <c r="M35" s="34" t="str">
        <f>IF(LEFT(O34,1)="D",
    CHAR(CODE(LEFT(O34,1)) - 1) &amp; MID(O34,2,99),
    CHAR(CODE(LEFT(O34,1)) - 2) &amp; MID(O34,2,99)
)</f>
        <v>C35</v>
      </c>
      <c r="N35" s="34"/>
      <c r="O35" s="34"/>
    </row>
    <row r="36" spans="2:15" x14ac:dyDescent="0.3">
      <c r="B36" s="54"/>
      <c r="C36" s="11" t="s">
        <v>17</v>
      </c>
      <c r="D36" s="29"/>
      <c r="E36" s="29"/>
      <c r="F36" s="6"/>
      <c r="G36" s="52"/>
      <c r="L36" s="34"/>
      <c r="M36" s="34"/>
      <c r="N36" s="34"/>
      <c r="O36" s="34"/>
    </row>
    <row r="37" spans="2:15" x14ac:dyDescent="0.3">
      <c r="C37" s="6"/>
      <c r="D37" s="6"/>
      <c r="F37" s="6"/>
      <c r="G37" s="6"/>
      <c r="L37" s="34"/>
      <c r="M37" s="34"/>
      <c r="N37" s="34"/>
      <c r="O37" s="34"/>
    </row>
    <row r="38" spans="2:15" ht="14.4" customHeight="1" x14ac:dyDescent="0.3">
      <c r="C38" s="12" t="s">
        <v>25</v>
      </c>
      <c r="D38" s="1" t="s">
        <v>26</v>
      </c>
      <c r="F38" s="6"/>
      <c r="G38" s="50" t="str" cm="1">
        <f t="array" aca="1" ref="G38" ca="1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30" t="s">
        <v>27</v>
      </c>
      <c r="J38" s="32" t="s">
        <v>7</v>
      </c>
      <c r="K38" s="32" t="s">
        <v>8</v>
      </c>
      <c r="L38" s="34"/>
      <c r="M38" s="34"/>
      <c r="N38" s="34"/>
      <c r="O38" s="34"/>
    </row>
    <row r="39" spans="2:15" x14ac:dyDescent="0.3">
      <c r="C39" s="13" t="s">
        <v>28</v>
      </c>
      <c r="D39" s="2" t="s">
        <v>29</v>
      </c>
      <c r="F39" s="6"/>
      <c r="G39" s="51"/>
      <c r="I39" s="30" t="s">
        <v>30</v>
      </c>
      <c r="J39" s="32">
        <f>MAX(performanceRange)</f>
        <v>0</v>
      </c>
      <c r="K39" s="33">
        <f>MIN(performanceRange)</f>
        <v>0</v>
      </c>
      <c r="L39" s="34"/>
      <c r="M39" s="34"/>
      <c r="N39" s="34"/>
      <c r="O39" s="34"/>
    </row>
    <row r="40" spans="2:15" x14ac:dyDescent="0.3">
      <c r="C40" s="14" t="s">
        <v>31</v>
      </c>
      <c r="D40" s="3" t="s">
        <v>32</v>
      </c>
      <c r="F40" s="6"/>
      <c r="G40" s="51"/>
      <c r="I40" s="30" t="s">
        <v>33</v>
      </c>
      <c r="J40" s="32" t="str" cm="1">
        <f t="array" ref="J40">ADDRESS(MIN(IF(D7:E36=J39,ROW(D7:E36))), MIN(IF(D7:E36=J39,COLUMN(D7:E36))), 4)</f>
        <v>D7</v>
      </c>
      <c r="K40" s="32" t="str" cm="1">
        <f t="array" ref="K40">ADDRESS(MIN(IF(D7:E36=K39,ROW(D7:E36))), MIN(IF(D7:E36=K39,COLUMN(D7:E36))), 4)</f>
        <v>D7</v>
      </c>
      <c r="L40" s="34"/>
      <c r="M40" s="34"/>
      <c r="N40" s="34"/>
      <c r="O40" s="34"/>
    </row>
    <row r="41" spans="2:15" x14ac:dyDescent="0.3">
      <c r="G41" s="51"/>
      <c r="I41" s="30" t="s">
        <v>34</v>
      </c>
      <c r="J41" s="32" t="str">
        <f>IF(LEFT(J40,1)="D",
      CHAR(CODE(LEFT(J40,1)) + 1)&amp;MID(J40,2,99),
      J40)</f>
        <v>E7</v>
      </c>
      <c r="K41" s="32" t="str">
        <f>IF(LEFT(K40,1)="D",
      CHAR(CODE(LEFT(K40,1)) + 1)&amp;MID(K40,2,99),
      K40)</f>
        <v>E7</v>
      </c>
    </row>
    <row r="42" spans="2:15" x14ac:dyDescent="0.3">
      <c r="G42" s="52"/>
      <c r="I42" s="30" t="s">
        <v>35</v>
      </c>
      <c r="J42" s="32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32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</row>
    <row r="43" spans="2:15" x14ac:dyDescent="0.3">
      <c r="I43" s="30" t="s">
        <v>36</v>
      </c>
      <c r="J43" s="32" t="str">
        <f>IF(LEFT(J40,1)="D",
    CHAR(CODE(LEFT(J40,1)) - 1) &amp; MID(J40,2,99),
    CHAR(CODE(LEFT(J40,1)) - 2) &amp; MID(J40,2,99)
)</f>
        <v>C7</v>
      </c>
      <c r="K43" s="32" t="str">
        <f>IF(LEFT(K40,1)="D",
    CHAR(CODE(LEFT(K40,1)) - 1) &amp; MID(K40,2,99),
    CHAR(CODE(LEFT(K40,1)) - 2) &amp; MID(K40,2,99)
)</f>
        <v>C7</v>
      </c>
      <c r="L43" s="34"/>
      <c r="M43" s="34"/>
      <c r="N43" s="34"/>
      <c r="O43" s="34"/>
    </row>
    <row r="44" spans="2:15" x14ac:dyDescent="0.3">
      <c r="I44" s="30" t="s">
        <v>37</v>
      </c>
      <c r="J44" s="32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2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2:15" x14ac:dyDescent="0.3">
      <c r="I45" s="30" t="s">
        <v>38</v>
      </c>
      <c r="J45" s="32" t="str" cm="1">
        <f t="array" aca="1" ref="J45" ca="1">INDIRECT(J44)</f>
        <v>01_Home</v>
      </c>
      <c r="K45" s="32" cm="1">
        <f t="array" aca="1" ref="K45" ca="1">INDIRECT(K44)</f>
        <v>0</v>
      </c>
    </row>
    <row r="46" spans="2:15" x14ac:dyDescent="0.3">
      <c r="I46" s="30" t="s">
        <v>39</v>
      </c>
      <c r="J46" s="32" t="str">
        <f ca="1">RIGHT(J47, LEN(J47) - 3)</f>
        <v>Home</v>
      </c>
      <c r="K46" s="32" t="e">
        <f ca="1">RIGHT(K47, LEN(K47) - 3)</f>
        <v>#VALUE!</v>
      </c>
    </row>
    <row r="47" spans="2:15" x14ac:dyDescent="0.3">
      <c r="J47" s="31" t="str" cm="1">
        <f t="array" aca="1" ref="J47" ca="1">INDIRECT(J48)</f>
        <v>01_Home</v>
      </c>
      <c r="K47" s="31" cm="1">
        <f t="array" aca="1" ref="K47" ca="1">INDIRECT(K48)</f>
        <v>0</v>
      </c>
    </row>
    <row r="48" spans="2:15" x14ac:dyDescent="0.3">
      <c r="J48" s="31" t="str" cm="1">
        <f t="array" aca="1" ref="J48" ca="1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31" t="str" cm="1">
        <f t="array" aca="1" ref="K48" ca="1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B15:B16"/>
    <mergeCell ref="G14:G16"/>
    <mergeCell ref="D2:E2"/>
    <mergeCell ref="B3:C3"/>
    <mergeCell ref="D3:E3"/>
    <mergeCell ref="B7:B8"/>
    <mergeCell ref="B11:B12"/>
    <mergeCell ref="G6:G8"/>
    <mergeCell ref="G10:G12"/>
    <mergeCell ref="G18:G20"/>
    <mergeCell ref="G38:G42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</mergeCells>
  <conditionalFormatting sqref="D7:E8">
    <cfRule type="cellIs" dxfId="15" priority="3" operator="lessThan">
      <formula>50</formula>
    </cfRule>
    <cfRule type="cellIs" dxfId="14" priority="4" operator="lessThan">
      <formula>90</formula>
    </cfRule>
  </conditionalFormatting>
  <conditionalFormatting sqref="D11:E12">
    <cfRule type="cellIs" dxfId="13" priority="5" operator="lessThan">
      <formula>50</formula>
    </cfRule>
    <cfRule type="cellIs" dxfId="12" priority="6" operator="lessThan">
      <formula>90</formula>
    </cfRule>
  </conditionalFormatting>
  <conditionalFormatting sqref="D15:E16">
    <cfRule type="cellIs" dxfId="11" priority="7" operator="lessThan">
      <formula>50</formula>
    </cfRule>
    <cfRule type="cellIs" dxfId="10" priority="8" operator="lessThan">
      <formula>90</formula>
    </cfRule>
  </conditionalFormatting>
  <conditionalFormatting sqref="D19:E20">
    <cfRule type="cellIs" dxfId="9" priority="9" operator="lessThan">
      <formula>50</formula>
    </cfRule>
    <cfRule type="cellIs" dxfId="8" priority="10" operator="lessThan">
      <formula>90</formula>
    </cfRule>
  </conditionalFormatting>
  <conditionalFormatting sqref="D23:E24">
    <cfRule type="cellIs" dxfId="7" priority="11" operator="lessThan">
      <formula>50</formula>
    </cfRule>
    <cfRule type="cellIs" dxfId="6" priority="12" operator="lessThan">
      <formula>90</formula>
    </cfRule>
  </conditionalFormatting>
  <conditionalFormatting sqref="D27:E28">
    <cfRule type="cellIs" dxfId="5" priority="13" operator="lessThan">
      <formula>50</formula>
    </cfRule>
    <cfRule type="cellIs" dxfId="4" priority="14" operator="lessThan">
      <formula>90</formula>
    </cfRule>
  </conditionalFormatting>
  <conditionalFormatting sqref="D31:E32">
    <cfRule type="cellIs" dxfId="3" priority="21" operator="lessThan">
      <formula>50</formula>
    </cfRule>
    <cfRule type="cellIs" dxfId="2" priority="22" operator="lessThan">
      <formula>90</formula>
    </cfRule>
  </conditionalFormatting>
  <conditionalFormatting sqref="D35:E36">
    <cfRule type="cellIs" dxfId="1" priority="1" operator="lessThan">
      <formula>50</formula>
    </cfRule>
    <cfRule type="cellIs" dxfId="0" priority="2" operator="lessThan">
      <formula>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1093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64">
        <f>Summary!D6</f>
        <v>0</v>
      </c>
      <c r="D2" s="65"/>
    </row>
    <row r="3" spans="2:5" x14ac:dyDescent="0.3">
      <c r="B3" s="66" t="str">
        <f>Summary!B7</f>
        <v>01_Home</v>
      </c>
      <c r="C3" s="69" t="s">
        <v>15</v>
      </c>
      <c r="D3" s="21" t="s">
        <v>5</v>
      </c>
      <c r="E3" s="20"/>
    </row>
    <row r="4" spans="2:5" x14ac:dyDescent="0.3">
      <c r="B4" s="67"/>
      <c r="C4" s="70"/>
      <c r="D4" s="22" t="s">
        <v>6</v>
      </c>
      <c r="E4" s="20"/>
    </row>
    <row r="5" spans="2:5" x14ac:dyDescent="0.3">
      <c r="B5" s="67"/>
      <c r="C5" s="70" t="s">
        <v>17</v>
      </c>
      <c r="D5" s="22" t="s">
        <v>5</v>
      </c>
      <c r="E5" s="20"/>
    </row>
    <row r="6" spans="2:5" x14ac:dyDescent="0.3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x14ac:dyDescent="0.3">
      <c r="B10" t="s">
        <v>42</v>
      </c>
      <c r="C10" s="75" t="s">
        <v>43</v>
      </c>
      <c r="D10" s="76"/>
    </row>
    <row r="11" spans="2:5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x14ac:dyDescent="0.3">
      <c r="B24" t="s">
        <v>46</v>
      </c>
    </row>
    <row r="25" spans="2:5" x14ac:dyDescent="0.3">
      <c r="B25" t="s">
        <v>41</v>
      </c>
      <c r="C25" s="72">
        <f>E5</f>
        <v>0</v>
      </c>
      <c r="D25" s="73"/>
      <c r="E25" s="74"/>
    </row>
    <row r="26" spans="2:5" x14ac:dyDescent="0.3">
      <c r="B26" t="s">
        <v>42</v>
      </c>
      <c r="C26" s="61"/>
      <c r="D26" s="62"/>
      <c r="E26" s="63"/>
    </row>
    <row r="27" spans="2:5" x14ac:dyDescent="0.3">
      <c r="B27" t="s">
        <v>44</v>
      </c>
      <c r="C27" s="19"/>
      <c r="D27" s="24"/>
      <c r="E27" s="25"/>
    </row>
    <row r="29" spans="2:5" ht="14.4" customHeight="1" x14ac:dyDescent="0.3"/>
  </sheetData>
  <mergeCells count="9">
    <mergeCell ref="C26:E26"/>
    <mergeCell ref="C2:D2"/>
    <mergeCell ref="B3:B6"/>
    <mergeCell ref="C3:C4"/>
    <mergeCell ref="C5:C6"/>
    <mergeCell ref="C25:E25"/>
    <mergeCell ref="C9:E9"/>
    <mergeCell ref="C10:D10"/>
    <mergeCell ref="C11:D11"/>
  </mergeCells>
  <hyperlinks>
    <hyperlink ref="C11" r:id="rId1" display="https://developer.chrome.com/docs/lighthouse/performance/offscreen-images/?utm_source=lighthouse&amp;utm_medium=lr" xr:uid="{958DC036-E7D9-4E9F-92F1-E9C4EDA77823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1093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64">
        <f>Summary!D10</f>
        <v>0</v>
      </c>
      <c r="D2" s="65"/>
    </row>
    <row r="3" spans="2:5" x14ac:dyDescent="0.3">
      <c r="B3" s="66" t="str">
        <f>Summary!B11</f>
        <v>02_Testing</v>
      </c>
      <c r="C3" s="69" t="s">
        <v>15</v>
      </c>
      <c r="D3" s="21" t="s">
        <v>5</v>
      </c>
      <c r="E3" s="20"/>
    </row>
    <row r="4" spans="2:5" x14ac:dyDescent="0.3">
      <c r="B4" s="67"/>
      <c r="C4" s="70"/>
      <c r="D4" s="22" t="s">
        <v>6</v>
      </c>
      <c r="E4" s="20"/>
    </row>
    <row r="5" spans="2:5" x14ac:dyDescent="0.3">
      <c r="B5" s="67"/>
      <c r="C5" s="70" t="s">
        <v>17</v>
      </c>
      <c r="D5" s="22" t="s">
        <v>5</v>
      </c>
      <c r="E5" s="20"/>
    </row>
    <row r="6" spans="2:5" x14ac:dyDescent="0.3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75" t="s">
        <v>43</v>
      </c>
      <c r="D10" s="76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17" spans="2:5" x14ac:dyDescent="0.3">
      <c r="C17" s="18"/>
      <c r="D17" s="18"/>
    </row>
    <row r="18" spans="2:5" x14ac:dyDescent="0.3">
      <c r="C18" s="18"/>
      <c r="D18" s="18"/>
    </row>
    <row r="19" spans="2:5" x14ac:dyDescent="0.3">
      <c r="C19" s="18"/>
      <c r="D19" s="18"/>
    </row>
    <row r="24" spans="2:5" ht="15" thickBot="1" x14ac:dyDescent="0.35">
      <c r="B24" t="s">
        <v>46</v>
      </c>
    </row>
    <row r="25" spans="2:5" ht="15" thickBot="1" x14ac:dyDescent="0.35">
      <c r="B25" t="s">
        <v>41</v>
      </c>
      <c r="C25" s="72">
        <f>E5</f>
        <v>0</v>
      </c>
      <c r="D25" s="73"/>
      <c r="E25" s="74"/>
    </row>
    <row r="26" spans="2:5" ht="15" thickBot="1" x14ac:dyDescent="0.35">
      <c r="B26" t="s">
        <v>42</v>
      </c>
      <c r="C26" s="61"/>
      <c r="D26" s="62"/>
      <c r="E26" s="63"/>
    </row>
    <row r="27" spans="2:5" ht="15" thickBot="1" x14ac:dyDescent="0.35">
      <c r="B27" t="s">
        <v>44</v>
      </c>
      <c r="C27" s="19"/>
      <c r="D27" s="24"/>
      <c r="E27" s="25"/>
    </row>
    <row r="30" spans="2:5" x14ac:dyDescent="0.3">
      <c r="C30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hyperlinks>
    <hyperlink ref="C11" r:id="rId1" display="https://developer.chrome.com/docs/lighthouse/performance/offscreen-images/?utm_source=lighthouse&amp;utm_medium=lr" xr:uid="{9D988C91-D48A-4207-A50A-CF58A050B2B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4">
        <f>Summary!D14</f>
        <v>0</v>
      </c>
      <c r="D2" s="65"/>
    </row>
    <row r="3" spans="2:5" ht="15" thickBot="1" x14ac:dyDescent="0.35">
      <c r="B3" s="66" t="str">
        <f>Summary!B15</f>
        <v>03_About</v>
      </c>
      <c r="C3" s="69" t="s">
        <v>15</v>
      </c>
      <c r="D3" s="21" t="s">
        <v>5</v>
      </c>
      <c r="E3" s="20"/>
    </row>
    <row r="4" spans="2:5" ht="15" thickBot="1" x14ac:dyDescent="0.35">
      <c r="B4" s="67"/>
      <c r="C4" s="70"/>
      <c r="D4" s="22" t="s">
        <v>6</v>
      </c>
      <c r="E4" s="20"/>
    </row>
    <row r="5" spans="2:5" ht="15" thickBot="1" x14ac:dyDescent="0.35">
      <c r="B5" s="67"/>
      <c r="C5" s="70" t="s">
        <v>17</v>
      </c>
      <c r="D5" s="22" t="s">
        <v>5</v>
      </c>
      <c r="E5" s="20"/>
    </row>
    <row r="6" spans="2:5" ht="15" thickBot="1" x14ac:dyDescent="0.35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75" t="s">
        <v>43</v>
      </c>
      <c r="D10" s="76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17" spans="2:5" x14ac:dyDescent="0.3">
      <c r="C17" s="18"/>
      <c r="D17" s="18"/>
    </row>
    <row r="18" spans="2:5" x14ac:dyDescent="0.3">
      <c r="C18" s="18"/>
      <c r="D18" s="18"/>
    </row>
    <row r="19" spans="2:5" x14ac:dyDescent="0.3">
      <c r="C19" s="18"/>
      <c r="D19" s="18"/>
    </row>
    <row r="24" spans="2:5" ht="15" thickBot="1" x14ac:dyDescent="0.35">
      <c r="B24" t="s">
        <v>46</v>
      </c>
    </row>
    <row r="25" spans="2:5" ht="15" thickBot="1" x14ac:dyDescent="0.35">
      <c r="B25" t="s">
        <v>41</v>
      </c>
      <c r="C25" s="72">
        <f>E5</f>
        <v>0</v>
      </c>
      <c r="D25" s="73"/>
      <c r="E25" s="74"/>
    </row>
    <row r="26" spans="2:5" ht="15" thickBot="1" x14ac:dyDescent="0.35">
      <c r="B26" t="s">
        <v>42</v>
      </c>
      <c r="C26" s="61"/>
      <c r="D26" s="62"/>
      <c r="E26" s="63"/>
    </row>
    <row r="27" spans="2:5" ht="15" thickBot="1" x14ac:dyDescent="0.35">
      <c r="B27" t="s">
        <v>44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hyperlinks>
    <hyperlink ref="C11" r:id="rId1" display="https://developer.chrome.com/docs/lighthouse/performance/offscreen-images/?utm_source=lighthouse&amp;utm_medium=lr" xr:uid="{D53F624B-2FBA-41DA-94CE-9ECC22731149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4">
        <f>Summary!D18</f>
        <v>0</v>
      </c>
      <c r="D2" s="65"/>
    </row>
    <row r="3" spans="2:5" ht="15" thickBot="1" x14ac:dyDescent="0.35">
      <c r="B3" s="66" t="str">
        <f>Summary!B19</f>
        <v>04_News</v>
      </c>
      <c r="C3" s="69" t="s">
        <v>15</v>
      </c>
      <c r="D3" s="21" t="s">
        <v>5</v>
      </c>
      <c r="E3" s="20"/>
    </row>
    <row r="4" spans="2:5" ht="15" thickBot="1" x14ac:dyDescent="0.35">
      <c r="B4" s="67"/>
      <c r="C4" s="70"/>
      <c r="D4" s="22" t="s">
        <v>6</v>
      </c>
      <c r="E4" s="20"/>
    </row>
    <row r="5" spans="2:5" ht="15" thickBot="1" x14ac:dyDescent="0.35">
      <c r="B5" s="67"/>
      <c r="C5" s="70" t="s">
        <v>17</v>
      </c>
      <c r="D5" s="22" t="s">
        <v>5</v>
      </c>
      <c r="E5" s="20"/>
    </row>
    <row r="6" spans="2:5" ht="15" thickBot="1" x14ac:dyDescent="0.35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75" t="s">
        <v>43</v>
      </c>
      <c r="D10" s="76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ht="15" thickBot="1" x14ac:dyDescent="0.35">
      <c r="B24" t="s">
        <v>46</v>
      </c>
    </row>
    <row r="25" spans="2:5" ht="15" thickBot="1" x14ac:dyDescent="0.35">
      <c r="B25" t="s">
        <v>41</v>
      </c>
      <c r="C25" s="72">
        <f>E5</f>
        <v>0</v>
      </c>
      <c r="D25" s="73"/>
      <c r="E25" s="74"/>
    </row>
    <row r="26" spans="2:5" ht="15" thickBot="1" x14ac:dyDescent="0.35">
      <c r="B26" t="s">
        <v>42</v>
      </c>
      <c r="C26" s="61"/>
      <c r="D26" s="62"/>
      <c r="E26" s="63"/>
    </row>
    <row r="27" spans="2:5" ht="15" thickBot="1" x14ac:dyDescent="0.35">
      <c r="B27" t="s">
        <v>44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hyperlinks>
    <hyperlink ref="C11" r:id="rId1" display="https://developer.chrome.com/docs/lighthouse/performance/offscreen-images/?utm_source=lighthouse&amp;utm_medium=lr" xr:uid="{BECBC66D-D2E1-4F15-8790-FA2BBDD000E5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6640625" customWidth="1"/>
    <col min="6" max="6" width="2.6640625" customWidth="1"/>
    <col min="7" max="7" width="16.5546875" bestFit="1" customWidth="1"/>
  </cols>
  <sheetData>
    <row r="1" spans="2:5" ht="15" thickBot="1" x14ac:dyDescent="0.35"/>
    <row r="2" spans="2:5" ht="15" thickBot="1" x14ac:dyDescent="0.35">
      <c r="C2" s="64">
        <f>Summary!D22</f>
        <v>0</v>
      </c>
      <c r="D2" s="65"/>
    </row>
    <row r="3" spans="2:5" ht="15" thickBot="1" x14ac:dyDescent="0.35">
      <c r="B3" s="66" t="str">
        <f>Summary!B23</f>
        <v>05_Careers</v>
      </c>
      <c r="C3" s="69" t="s">
        <v>15</v>
      </c>
      <c r="D3" s="21" t="s">
        <v>5</v>
      </c>
      <c r="E3" s="20"/>
    </row>
    <row r="4" spans="2:5" ht="15" thickBot="1" x14ac:dyDescent="0.35">
      <c r="B4" s="67"/>
      <c r="C4" s="70"/>
      <c r="D4" s="22" t="s">
        <v>6</v>
      </c>
      <c r="E4" s="20"/>
    </row>
    <row r="5" spans="2:5" ht="15" thickBot="1" x14ac:dyDescent="0.35">
      <c r="B5" s="67"/>
      <c r="C5" s="70" t="s">
        <v>17</v>
      </c>
      <c r="D5" s="22" t="s">
        <v>5</v>
      </c>
      <c r="E5" s="20"/>
    </row>
    <row r="6" spans="2:5" ht="15" thickBot="1" x14ac:dyDescent="0.35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75" t="s">
        <v>43</v>
      </c>
      <c r="D10" s="76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ht="15" thickBot="1" x14ac:dyDescent="0.35">
      <c r="B24" t="s">
        <v>46</v>
      </c>
    </row>
    <row r="25" spans="2:5" ht="15" thickBot="1" x14ac:dyDescent="0.35">
      <c r="B25" t="s">
        <v>41</v>
      </c>
      <c r="C25" s="72">
        <f>E5</f>
        <v>0</v>
      </c>
      <c r="D25" s="73"/>
      <c r="E25" s="74"/>
    </row>
    <row r="26" spans="2:5" ht="15" thickBot="1" x14ac:dyDescent="0.35">
      <c r="B26" t="s">
        <v>42</v>
      </c>
      <c r="C26" s="61"/>
      <c r="D26" s="62"/>
      <c r="E26" s="63"/>
    </row>
    <row r="27" spans="2:5" ht="15" thickBot="1" x14ac:dyDescent="0.35">
      <c r="B27" t="s">
        <v>44</v>
      </c>
      <c r="C27" s="19"/>
      <c r="D27" s="24"/>
      <c r="E27" s="25"/>
    </row>
    <row r="29" spans="2:5" x14ac:dyDescent="0.3">
      <c r="C29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hyperlinks>
    <hyperlink ref="C11" r:id="rId1" display="https://developer.chrome.com/docs/lighthouse/performance/offscreen-images/?utm_source=lighthouse&amp;utm_medium=lr" xr:uid="{707FAAF5-E9CE-4C22-B4CE-7115DE020E88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4">
        <f>Summary!D26</f>
        <v>0</v>
      </c>
      <c r="D2" s="65"/>
    </row>
    <row r="3" spans="2:5" ht="15" thickBot="1" x14ac:dyDescent="0.35">
      <c r="B3" s="66" t="str">
        <f>Summary!B27</f>
        <v>06_Contact</v>
      </c>
      <c r="C3" s="69" t="s">
        <v>15</v>
      </c>
      <c r="D3" s="21" t="s">
        <v>5</v>
      </c>
      <c r="E3" s="20"/>
    </row>
    <row r="4" spans="2:5" ht="15" thickBot="1" x14ac:dyDescent="0.35">
      <c r="B4" s="67"/>
      <c r="C4" s="70"/>
      <c r="D4" s="22" t="s">
        <v>6</v>
      </c>
      <c r="E4" s="20"/>
    </row>
    <row r="5" spans="2:5" ht="15" thickBot="1" x14ac:dyDescent="0.35">
      <c r="B5" s="67"/>
      <c r="C5" s="70" t="s">
        <v>17</v>
      </c>
      <c r="D5" s="22" t="s">
        <v>5</v>
      </c>
      <c r="E5" s="20"/>
    </row>
    <row r="6" spans="2:5" ht="15" thickBot="1" x14ac:dyDescent="0.35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ht="15" thickBot="1" x14ac:dyDescent="0.35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75" t="s">
        <v>43</v>
      </c>
      <c r="D10" s="76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17" spans="2:5" x14ac:dyDescent="0.3">
      <c r="C17" s="18"/>
      <c r="D17" s="18"/>
    </row>
    <row r="18" spans="2:5" x14ac:dyDescent="0.3">
      <c r="C18" s="18"/>
      <c r="D18" s="18"/>
    </row>
    <row r="24" spans="2:5" ht="15" thickBot="1" x14ac:dyDescent="0.35">
      <c r="B24" t="s">
        <v>46</v>
      </c>
    </row>
    <row r="25" spans="2:5" ht="15" thickBot="1" x14ac:dyDescent="0.35">
      <c r="B25" t="s">
        <v>41</v>
      </c>
      <c r="C25" s="72">
        <f>E5</f>
        <v>0</v>
      </c>
      <c r="D25" s="73"/>
      <c r="E25" s="74"/>
    </row>
    <row r="26" spans="2:5" ht="15" thickBot="1" x14ac:dyDescent="0.35">
      <c r="B26" t="s">
        <v>42</v>
      </c>
      <c r="C26" s="61"/>
      <c r="D26" s="62"/>
      <c r="E26" s="63"/>
    </row>
    <row r="27" spans="2:5" ht="15" thickBot="1" x14ac:dyDescent="0.35">
      <c r="B27" t="s">
        <v>44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hyperlinks>
    <hyperlink ref="C11" r:id="rId1" display="https://developer.chrome.com/docs/lighthouse/performance/offscreen-images/?utm_source=lighthouse&amp;utm_medium=lr" xr:uid="{011D95A5-629E-4B01-A56E-5D0F6411D2B5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44140625" customWidth="1"/>
    <col min="6" max="6" width="2.6640625" customWidth="1"/>
    <col min="7" max="8" width="16.5546875" bestFit="1" customWidth="1"/>
  </cols>
  <sheetData>
    <row r="2" spans="2:5" x14ac:dyDescent="0.3">
      <c r="C2" s="64">
        <f>Summary!D30</f>
        <v>0</v>
      </c>
      <c r="D2" s="65"/>
    </row>
    <row r="3" spans="2:5" x14ac:dyDescent="0.3">
      <c r="B3" s="66" t="str">
        <f>Summary!B31</f>
        <v>07_Privacy</v>
      </c>
      <c r="C3" s="69" t="s">
        <v>15</v>
      </c>
      <c r="D3" s="21" t="s">
        <v>5</v>
      </c>
      <c r="E3" s="44"/>
    </row>
    <row r="4" spans="2:5" x14ac:dyDescent="0.3">
      <c r="B4" s="67"/>
      <c r="C4" s="70"/>
      <c r="D4" s="22" t="s">
        <v>6</v>
      </c>
      <c r="E4" s="46"/>
    </row>
    <row r="5" spans="2:5" x14ac:dyDescent="0.3">
      <c r="B5" s="67"/>
      <c r="C5" s="70" t="s">
        <v>17</v>
      </c>
      <c r="D5" s="22" t="s">
        <v>5</v>
      </c>
      <c r="E5" s="47"/>
    </row>
    <row r="6" spans="2:5" x14ac:dyDescent="0.3">
      <c r="B6" s="68"/>
      <c r="C6" s="71"/>
      <c r="D6" s="23" t="s">
        <v>6</v>
      </c>
      <c r="E6" s="45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75" t="s">
        <v>43</v>
      </c>
      <c r="D10" s="76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ht="15" thickBot="1" x14ac:dyDescent="0.35">
      <c r="B24" t="s">
        <v>46</v>
      </c>
    </row>
    <row r="25" spans="2:5" ht="15" thickBot="1" x14ac:dyDescent="0.35">
      <c r="B25" t="s">
        <v>41</v>
      </c>
      <c r="C25" s="72">
        <f>E5</f>
        <v>0</v>
      </c>
      <c r="D25" s="73"/>
      <c r="E25" s="74"/>
    </row>
    <row r="26" spans="2:5" ht="15" thickBot="1" x14ac:dyDescent="0.35">
      <c r="B26" t="s">
        <v>42</v>
      </c>
      <c r="C26" s="61"/>
      <c r="D26" s="62"/>
      <c r="E26" s="63"/>
    </row>
    <row r="27" spans="2:5" ht="15" thickBot="1" x14ac:dyDescent="0.35">
      <c r="B27" t="s">
        <v>44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hyperlinks>
    <hyperlink ref="C11" r:id="rId1" display="https://developer.chrome.com/docs/lighthouse/performance/offscreen-images/?utm_source=lighthouse&amp;utm_medium=lr" xr:uid="{E942F398-9166-4A52-A7E2-8DCF929DA045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8.5546875" customWidth="1"/>
    <col min="6" max="6" width="2.6640625" customWidth="1"/>
    <col min="7" max="8" width="16.5546875" bestFit="1" customWidth="1"/>
  </cols>
  <sheetData>
    <row r="2" spans="2:5" x14ac:dyDescent="0.3">
      <c r="C2" s="64">
        <f>Summary!D34</f>
        <v>0</v>
      </c>
      <c r="D2" s="65"/>
    </row>
    <row r="3" spans="2:5" x14ac:dyDescent="0.3">
      <c r="B3" s="66" t="str">
        <f>Summary!B35</f>
        <v>08_Game Testing</v>
      </c>
      <c r="C3" s="69" t="s">
        <v>15</v>
      </c>
      <c r="D3" s="21" t="s">
        <v>5</v>
      </c>
      <c r="E3" s="20"/>
    </row>
    <row r="4" spans="2:5" x14ac:dyDescent="0.3">
      <c r="B4" s="67"/>
      <c r="C4" s="70"/>
      <c r="D4" s="22" t="s">
        <v>6</v>
      </c>
      <c r="E4" s="20"/>
    </row>
    <row r="5" spans="2:5" x14ac:dyDescent="0.3">
      <c r="B5" s="67"/>
      <c r="C5" s="70" t="s">
        <v>17</v>
      </c>
      <c r="D5" s="22" t="s">
        <v>5</v>
      </c>
      <c r="E5" s="20"/>
    </row>
    <row r="6" spans="2:5" x14ac:dyDescent="0.3">
      <c r="B6" s="68"/>
      <c r="C6" s="71"/>
      <c r="D6" s="23" t="s">
        <v>6</v>
      </c>
      <c r="E6" s="20"/>
    </row>
    <row r="7" spans="2:5" x14ac:dyDescent="0.3">
      <c r="B7" s="16"/>
      <c r="C7" s="16"/>
      <c r="E7" s="17"/>
    </row>
    <row r="8" spans="2:5" x14ac:dyDescent="0.3">
      <c r="B8" t="s">
        <v>40</v>
      </c>
    </row>
    <row r="9" spans="2:5" x14ac:dyDescent="0.3">
      <c r="B9" t="s">
        <v>41</v>
      </c>
      <c r="C9" s="72">
        <f>E3</f>
        <v>0</v>
      </c>
      <c r="D9" s="73"/>
      <c r="E9" s="74"/>
    </row>
    <row r="10" spans="2:5" ht="14.4" customHeight="1" x14ac:dyDescent="0.3">
      <c r="B10" t="s">
        <v>42</v>
      </c>
      <c r="C10" s="49" t="s">
        <v>43</v>
      </c>
      <c r="D10" s="48"/>
    </row>
    <row r="11" spans="2:5" ht="14.4" customHeight="1" x14ac:dyDescent="0.3">
      <c r="B11" t="s">
        <v>44</v>
      </c>
      <c r="C11" s="77" t="s">
        <v>45</v>
      </c>
      <c r="D11" s="78"/>
    </row>
    <row r="12" spans="2:5" x14ac:dyDescent="0.3">
      <c r="C12" s="18"/>
      <c r="D12" s="18"/>
    </row>
    <row r="13" spans="2:5" x14ac:dyDescent="0.3">
      <c r="C13" s="18"/>
      <c r="D13" s="18"/>
    </row>
    <row r="14" spans="2:5" x14ac:dyDescent="0.3">
      <c r="C14" s="18"/>
      <c r="D14" s="18"/>
    </row>
    <row r="15" spans="2:5" x14ac:dyDescent="0.3">
      <c r="C15" s="18"/>
      <c r="D15" s="18"/>
    </row>
    <row r="16" spans="2:5" x14ac:dyDescent="0.3">
      <c r="C16" s="18"/>
      <c r="D16" s="18"/>
    </row>
    <row r="24" spans="2:5" x14ac:dyDescent="0.3">
      <c r="B24" t="s">
        <v>46</v>
      </c>
    </row>
    <row r="25" spans="2:5" x14ac:dyDescent="0.3">
      <c r="B25" t="s">
        <v>41</v>
      </c>
      <c r="C25" s="72">
        <f>E5</f>
        <v>0</v>
      </c>
      <c r="D25" s="73"/>
      <c r="E25" s="74"/>
    </row>
    <row r="26" spans="2:5" x14ac:dyDescent="0.3">
      <c r="B26" t="s">
        <v>42</v>
      </c>
      <c r="C26" s="61"/>
      <c r="D26" s="62"/>
      <c r="E26" s="63"/>
    </row>
    <row r="27" spans="2:5" x14ac:dyDescent="0.3">
      <c r="B27" t="s">
        <v>44</v>
      </c>
      <c r="C27" s="19"/>
      <c r="D27" s="24"/>
      <c r="E27" s="25"/>
    </row>
  </sheetData>
  <mergeCells count="8">
    <mergeCell ref="C26:E26"/>
    <mergeCell ref="C2:D2"/>
    <mergeCell ref="B3:B6"/>
    <mergeCell ref="C3:C4"/>
    <mergeCell ref="C5:C6"/>
    <mergeCell ref="C9:E9"/>
    <mergeCell ref="C25:E25"/>
    <mergeCell ref="C11:D11"/>
  </mergeCells>
  <hyperlinks>
    <hyperlink ref="C11" r:id="rId1" display="https://developer.chrome.com/docs/lighthouse/performance/offscreen-images/?utm_source=lighthouse&amp;utm_medium=lr" xr:uid="{DDEEEEDF-A528-40A1-BB59-449213F305C7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192765-7A29-43CE-B5C9-BF081AEF5ED1}">
  <ds:schemaRefs>
    <ds:schemaRef ds:uri="http://schemas.microsoft.com/office/2006/metadata/properties"/>
    <ds:schemaRef ds:uri="http://schemas.microsoft.com/office/infopath/2007/PartnerControls"/>
    <ds:schemaRef ds:uri="851fd863-1f96-44b1-878a-247793b557e9"/>
    <ds:schemaRef ds:uri="2d55a6ab-b9f4-4be6-b06a-2cc46fdc62a1"/>
  </ds:schemaRefs>
</ds:datastoreItem>
</file>

<file path=customXml/itemProps2.xml><?xml version="1.0" encoding="utf-8"?>
<ds:datastoreItem xmlns:ds="http://schemas.openxmlformats.org/officeDocument/2006/customXml" ds:itemID="{BB6E2078-3560-474E-801B-A28E523CFF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D0948-37AE-4A53-8E3A-E23AA9EDC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d863-1f96-44b1-878a-247793b557e9"/>
    <ds:schemaRef ds:uri="2d55a6ab-b9f4-4be6-b06a-2cc46fdc6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cacheRange</vt:lpstr>
      <vt:lpstr>Summary!performanceRange</vt:lpstr>
      <vt:lpstr>performanceValueRange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Pecho</dc:creator>
  <cp:keywords/>
  <dc:description/>
  <cp:lastModifiedBy>Von Webster D. Labajo</cp:lastModifiedBy>
  <cp:revision/>
  <dcterms:created xsi:type="dcterms:W3CDTF">2024-11-27T02:28:50Z</dcterms:created>
  <dcterms:modified xsi:type="dcterms:W3CDTF">2025-08-06T06:42:08Z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