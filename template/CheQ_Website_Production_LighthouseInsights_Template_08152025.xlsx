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onWebsterDLabajo\VS Code\Private-Lighthouse-Automation\template\"/>
    </mc:Choice>
  </mc:AlternateContent>
  <xr:revisionPtr revIDLastSave="0" documentId="13_ncr:1_{7B4F9762-C673-4E82-848F-3966A1770DE6}" xr6:coauthVersionLast="47" xr6:coauthVersionMax="47" xr10:uidLastSave="{00000000-0000-0000-0000-000000000000}"/>
  <bookViews>
    <workbookView xWindow="-108" yWindow="-108" windowWidth="23256" windowHeight="12456" firstSheet="2" activeTab="8" xr2:uid="{9F6E278F-D365-4345-BA7B-50EDF112F8F8}"/>
  </bookViews>
  <sheets>
    <sheet name="Summary" sheetId="1" r:id="rId1"/>
    <sheet name="01_Home" sheetId="7" r:id="rId2"/>
    <sheet name="02_Testing" sheetId="8" r:id="rId3"/>
    <sheet name="03_About" sheetId="9" r:id="rId4"/>
    <sheet name="04_News" sheetId="10" r:id="rId5"/>
    <sheet name="05_Careers" sheetId="11" r:id="rId6"/>
    <sheet name="06_Contact" sheetId="12" r:id="rId7"/>
    <sheet name="07_Privacy" sheetId="13" r:id="rId8"/>
    <sheet name="08_Game Testing" sheetId="14" r:id="rId9"/>
    <sheet name="Formula_Sheet" sheetId="15" state="hidden" r:id="rId10"/>
  </sheets>
  <definedNames>
    <definedName name="cacheRange">Summary!#REF!,Summary!#REF!,Summary!#REF!,Summary!#REF!,Summary!#REF!,Summary!#REF!,Summary!#REF!,Summary!#REF!,Summary!#REF!,Summary!#REF!,Summary!#REF!,Summary!#REF!,Summary!#REF!,Summary!#REF!</definedName>
    <definedName name="formulaPerformanceSheet" localSheetId="9">Formula_Sheet!$L$6:$L$35</definedName>
    <definedName name="performanceRange" localSheetId="9">Summary!#REF!</definedName>
    <definedName name="performanceRange" localSheetId="0">Summary!#REF!</definedName>
    <definedName name="performanceValueRange" comment="This variable refers to the performance of all pages, for devices, cache, and without cache.">Summary!#REF!,Summary!#REF!,Summary!#REF!,Summary!#REF!,Summary!#REF!,Summary!#REF!,Summary!#REF!,Summary!#REF!,Summary!#REF!,Summary!#REF!,Summary!#REF!,Summary!#REF!,Summary!#REF!,Summary!#REF!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G30" i="1"/>
  <c r="G26" i="1"/>
  <c r="G22" i="1"/>
  <c r="G18" i="1"/>
  <c r="G14" i="1"/>
  <c r="G10" i="1"/>
  <c r="G6" i="1"/>
  <c r="C25" i="7" l="1"/>
  <c r="C9" i="7"/>
  <c r="C25" i="8"/>
  <c r="C9" i="8"/>
  <c r="C25" i="9"/>
  <c r="C9" i="9"/>
  <c r="C25" i="10"/>
  <c r="C9" i="10"/>
  <c r="C25" i="11"/>
  <c r="C9" i="11"/>
  <c r="C25" i="12"/>
  <c r="C9" i="12"/>
  <c r="C25" i="13"/>
  <c r="C9" i="13"/>
  <c r="L35" i="15"/>
  <c r="O34" i="15" s="1" a="1"/>
  <c r="O34" i="15" s="1"/>
  <c r="M35" i="15" s="1"/>
  <c r="L34" i="15"/>
  <c r="L31" i="15"/>
  <c r="O30" i="15" s="1" a="1"/>
  <c r="O30" i="15" s="1"/>
  <c r="M31" i="15" s="1"/>
  <c r="L30" i="15"/>
  <c r="L27" i="15"/>
  <c r="O26" i="15" s="1" a="1"/>
  <c r="O26" i="15" s="1"/>
  <c r="M27" i="15" s="1"/>
  <c r="L26" i="15"/>
  <c r="L23" i="15"/>
  <c r="O22" i="15" s="1" a="1"/>
  <c r="O22" i="15" s="1"/>
  <c r="M23" i="15" s="1"/>
  <c r="L22" i="15"/>
  <c r="L19" i="15"/>
  <c r="O18" i="15" s="1" a="1"/>
  <c r="O18" i="15" s="1"/>
  <c r="M19" i="15" s="1"/>
  <c r="L18" i="15"/>
  <c r="L15" i="15"/>
  <c r="O14" i="15" s="1" a="1"/>
  <c r="O14" i="15" s="1"/>
  <c r="M15" i="15" s="1"/>
  <c r="L14" i="15"/>
  <c r="L11" i="15"/>
  <c r="O10" i="15" s="1" a="1"/>
  <c r="O10" i="15" s="1"/>
  <c r="M11" i="15" s="1"/>
  <c r="L10" i="15"/>
  <c r="L7" i="15"/>
  <c r="O6" i="15" s="1" a="1"/>
  <c r="O6" i="15" s="1"/>
  <c r="M7" i="15" s="1"/>
  <c r="L6" i="15"/>
  <c r="N10" i="15" l="1" a="1"/>
  <c r="N10" i="15" s="1"/>
  <c r="M10" i="15" s="1"/>
  <c r="N14" i="15" a="1"/>
  <c r="N14" i="15" s="1"/>
  <c r="M14" i="15" s="1"/>
  <c r="N18" i="15" a="1"/>
  <c r="N18" i="15" s="1"/>
  <c r="M18" i="15" s="1"/>
  <c r="N22" i="15" a="1"/>
  <c r="N22" i="15" s="1"/>
  <c r="M22" i="15" s="1"/>
  <c r="N26" i="15" a="1"/>
  <c r="N26" i="15" s="1"/>
  <c r="M26" i="15" s="1"/>
  <c r="N30" i="15" a="1"/>
  <c r="N30" i="15" s="1"/>
  <c r="M30" i="15" s="1"/>
  <c r="N34" i="15" a="1"/>
  <c r="N34" i="15" s="1"/>
  <c r="M34" i="15" s="1"/>
  <c r="N6" i="15" a="1"/>
  <c r="N6" i="15" s="1"/>
  <c r="M6" i="15" s="1"/>
  <c r="J39" i="15"/>
  <c r="J40" i="15" s="1" a="1"/>
  <c r="J40" i="15" s="1"/>
  <c r="J43" i="15" s="1"/>
  <c r="K39" i="15"/>
  <c r="K14" i="15" a="1"/>
  <c r="K34" i="15" a="1"/>
  <c r="J30" i="15" a="1"/>
  <c r="J14" i="15" a="1"/>
  <c r="K26" i="15" a="1"/>
  <c r="J22" i="15" a="1"/>
  <c r="K10" i="15" a="1"/>
  <c r="J6" i="15" a="1"/>
  <c r="K18" i="15" a="1"/>
  <c r="K22" i="15" a="1"/>
  <c r="J10" i="15" a="1"/>
  <c r="K30" i="15" a="1"/>
  <c r="J26" i="15" a="1"/>
  <c r="J18" i="15" a="1"/>
  <c r="K6" i="15" a="1"/>
  <c r="J34" i="15" a="1"/>
  <c r="J14" i="15" l="1"/>
  <c r="K22" i="15"/>
  <c r="K23" i="15" s="1"/>
  <c r="J34" i="15"/>
  <c r="J22" i="15"/>
  <c r="K14" i="15"/>
  <c r="K15" i="15" s="1"/>
  <c r="K26" i="15"/>
  <c r="K27" i="15" s="1"/>
  <c r="J6" i="15"/>
  <c r="J7" i="15" s="1"/>
  <c r="J26" i="15"/>
  <c r="K34" i="15"/>
  <c r="K35" i="15" s="1"/>
  <c r="J18" i="15"/>
  <c r="J30" i="15"/>
  <c r="J10" i="15"/>
  <c r="K30" i="15"/>
  <c r="K31" i="15" s="1"/>
  <c r="K6" i="15"/>
  <c r="K7" i="15" s="1"/>
  <c r="K18" i="15"/>
  <c r="K19" i="15" s="1"/>
  <c r="K10" i="15"/>
  <c r="K11" i="15" s="1"/>
  <c r="J19" i="15" l="1"/>
  <c r="J15" i="15"/>
  <c r="J11" i="15"/>
  <c r="J35" i="15"/>
  <c r="J31" i="15"/>
  <c r="J27" i="15"/>
  <c r="J23" i="15"/>
  <c r="K40" i="15" a="1"/>
  <c r="K40" i="15" s="1"/>
  <c r="K43" i="15" s="1"/>
  <c r="K44" i="15" l="1"/>
  <c r="K41" i="15"/>
  <c r="K45" i="15" a="1"/>
  <c r="K42" i="15" a="1"/>
  <c r="K45" i="15" l="1"/>
  <c r="K46" i="15" s="1"/>
  <c r="J44" i="15"/>
  <c r="J41" i="15"/>
  <c r="K42" i="15"/>
  <c r="J42" i="15" a="1"/>
  <c r="J45" i="15" a="1"/>
  <c r="J42" i="15" l="1"/>
  <c r="J45" i="15"/>
  <c r="B3" i="14"/>
  <c r="B3" i="13"/>
  <c r="B3" i="12"/>
  <c r="B3" i="11"/>
  <c r="B3" i="10"/>
  <c r="B3" i="9"/>
  <c r="B3" i="8"/>
  <c r="B3" i="7"/>
  <c r="C2" i="14"/>
  <c r="C25" i="14"/>
  <c r="C9" i="14"/>
  <c r="C2" i="13"/>
  <c r="C2" i="11"/>
  <c r="C2" i="12"/>
  <c r="C2" i="10"/>
  <c r="C2" i="9"/>
  <c r="C2" i="8"/>
  <c r="J46" i="15" l="1"/>
  <c r="C2" i="7"/>
  <c r="G38" i="1" a="1"/>
  <c r="G3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<sst xmlns="http://schemas.openxmlformats.org/spreadsheetml/2006/main" count="190" uniqueCount="46">
  <si>
    <t xml:space="preserve">Performance </t>
  </si>
  <si>
    <t>Page</t>
  </si>
  <si>
    <t>Device</t>
  </si>
  <si>
    <t>With Cache</t>
  </si>
  <si>
    <t>Without Cache</t>
  </si>
  <si>
    <t>Best</t>
  </si>
  <si>
    <t>Worst</t>
  </si>
  <si>
    <t>Performance Value</t>
  </si>
  <si>
    <t>Device Selector</t>
  </si>
  <si>
    <t>Cell with Highest</t>
  </si>
  <si>
    <t>Cell with Lowest</t>
  </si>
  <si>
    <t>Device:</t>
  </si>
  <si>
    <t>Desktop</t>
  </si>
  <si>
    <t>Cache:</t>
  </si>
  <si>
    <t>Mobile</t>
  </si>
  <si>
    <t>0 to 49</t>
  </si>
  <si>
    <t xml:space="preserve"> Poor</t>
  </si>
  <si>
    <t>Name</t>
  </si>
  <si>
    <t>50 to 89</t>
  </si>
  <si>
    <t>Needs Improvement</t>
  </si>
  <si>
    <t>Record performance value:</t>
  </si>
  <si>
    <t>90 to 100</t>
  </si>
  <si>
    <t>Good</t>
  </si>
  <si>
    <t>Record performance value location:</t>
  </si>
  <si>
    <t>With and Without Cache Value Location:</t>
  </si>
  <si>
    <t>Cache Value:</t>
  </si>
  <si>
    <t>Device Location:</t>
  </si>
  <si>
    <t>Page Location:</t>
  </si>
  <si>
    <t>Page Value:</t>
  </si>
  <si>
    <t>Trimmed Value:</t>
  </si>
  <si>
    <t>Best Insight</t>
  </si>
  <si>
    <t>URL:</t>
  </si>
  <si>
    <t>Diagnostic:</t>
  </si>
  <si>
    <t>Recommendation:</t>
  </si>
  <si>
    <t>Worst Insight</t>
  </si>
  <si>
    <t>Analysis Results</t>
  </si>
  <si>
    <t>Lighthouse Insights</t>
  </si>
  <si>
    <t>01_Home</t>
  </si>
  <si>
    <t>02_Testing</t>
  </si>
  <si>
    <t>03_About</t>
  </si>
  <si>
    <t>04_News</t>
  </si>
  <si>
    <t>05_Careers</t>
  </si>
  <si>
    <t>06_Contact</t>
  </si>
  <si>
    <t>07_Privacy</t>
  </si>
  <si>
    <t>08_Game Testing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</si>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</sst>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1E1E2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7">
    <xf numFmtId="0" fontId="0" fillId="0" borderId="0" xfId="0"/>
    <xf numFmtId="0" fontId="4" fillId="4" borderId="6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/>
    <xf numFmtId="0" fontId="1" fillId="5" borderId="0" xfId="0" applyFont="1" applyFill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5" borderId="12" xfId="0" applyFill="1" applyBorder="1"/>
    <xf numFmtId="0" fontId="0" fillId="5" borderId="14" xfId="0" applyFill="1" applyBorder="1"/>
    <xf numFmtId="0" fontId="0" fillId="5" borderId="6" xfId="0" applyFill="1" applyBorder="1" applyAlignment="1">
      <alignment horizontal="left"/>
    </xf>
    <xf numFmtId="0" fontId="0" fillId="5" borderId="7" xfId="0" applyFill="1" applyBorder="1" applyAlignment="1">
      <alignment horizontal="left" vertical="center"/>
    </xf>
    <xf numFmtId="0" fontId="0" fillId="5" borderId="8" xfId="0" applyFill="1" applyBorder="1" applyAlignment="1">
      <alignment horizontal="left"/>
    </xf>
    <xf numFmtId="0" fontId="2" fillId="5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1" applyBorder="1"/>
    <xf numFmtId="0" fontId="5" fillId="0" borderId="0" xfId="1" applyFill="1" applyBorder="1" applyAlignment="1">
      <alignment vertical="top" wrapText="1"/>
    </xf>
    <xf numFmtId="0" fontId="5" fillId="0" borderId="4" xfId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0" borderId="0" xfId="0" applyFont="1"/>
    <xf numFmtId="20" fontId="0" fillId="5" borderId="4" xfId="0" quotePrefix="1" applyNumberForma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/>
    </xf>
    <xf numFmtId="0" fontId="0" fillId="0" borderId="9" xfId="0" applyBorder="1"/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6" borderId="9" xfId="0" applyFill="1" applyBorder="1" applyAlignment="1">
      <alignment horizontal="left" vertical="top"/>
    </xf>
    <xf numFmtId="0" fontId="0" fillId="7" borderId="0" xfId="0" applyFill="1" applyAlignment="1">
      <alignment horizontal="left" vertical="top"/>
    </xf>
    <xf numFmtId="0" fontId="0" fillId="7" borderId="9" xfId="0" applyFill="1" applyBorder="1" applyAlignment="1">
      <alignment horizontal="left" vertical="top"/>
    </xf>
    <xf numFmtId="1" fontId="0" fillId="7" borderId="9" xfId="0" applyNumberFormat="1" applyFill="1" applyBorder="1" applyAlignment="1">
      <alignment horizontal="left" vertical="top"/>
    </xf>
    <xf numFmtId="1" fontId="0" fillId="6" borderId="9" xfId="0" applyNumberFormat="1" applyFill="1" applyBorder="1" applyAlignment="1">
      <alignment horizontal="left" vertical="top"/>
    </xf>
    <xf numFmtId="20" fontId="0" fillId="5" borderId="21" xfId="0" quotePrefix="1" applyNumberFormat="1" applyFill="1" applyBorder="1" applyAlignment="1">
      <alignment horizontal="center" vertical="center"/>
    </xf>
    <xf numFmtId="0" fontId="0" fillId="0" borderId="0" xfId="0" quotePrefix="1" applyAlignment="1">
      <alignment horizontal="left" vertical="top"/>
    </xf>
    <xf numFmtId="0" fontId="0" fillId="5" borderId="0" xfId="0" applyFill="1" applyAlignment="1">
      <alignment horizontal="left" vertical="top" wrapText="1"/>
    </xf>
    <xf numFmtId="0" fontId="5" fillId="0" borderId="25" xfId="1" applyBorder="1"/>
    <xf numFmtId="0" fontId="5" fillId="0" borderId="26" xfId="1" applyBorder="1"/>
    <xf numFmtId="0" fontId="5" fillId="0" borderId="27" xfId="1" applyBorder="1"/>
    <xf numFmtId="0" fontId="5" fillId="0" borderId="28" xfId="1" applyBorder="1"/>
    <xf numFmtId="20" fontId="0" fillId="5" borderId="4" xfId="0" quotePrefix="1" applyNumberForma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1" fillId="5" borderId="30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5" borderId="18" xfId="0" applyFill="1" applyBorder="1" applyAlignment="1">
      <alignment horizontal="left" vertical="top" wrapText="1"/>
    </xf>
    <xf numFmtId="0" fontId="0" fillId="5" borderId="19" xfId="0" applyFill="1" applyBorder="1" applyAlignment="1">
      <alignment horizontal="left" vertical="top" wrapText="1"/>
    </xf>
    <xf numFmtId="0" fontId="0" fillId="5" borderId="20" xfId="0" applyFill="1" applyBorder="1" applyAlignment="1">
      <alignment horizontal="left" vertical="top" wrapText="1"/>
    </xf>
    <xf numFmtId="164" fontId="0" fillId="0" borderId="10" xfId="0" quotePrefix="1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5" borderId="1" xfId="1" applyFill="1" applyBorder="1" applyAlignment="1"/>
    <xf numFmtId="0" fontId="5" fillId="5" borderId="21" xfId="1" applyFill="1" applyBorder="1" applyAlignment="1"/>
    <xf numFmtId="0" fontId="5" fillId="5" borderId="2" xfId="1" applyFill="1" applyBorder="1" applyAlignment="1"/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5" fillId="0" borderId="1" xfId="1" applyBorder="1" applyAlignment="1">
      <alignment horizontal="center"/>
    </xf>
    <xf numFmtId="0" fontId="5" fillId="0" borderId="2" xfId="1" applyBorder="1" applyAlignment="1">
      <alignment horizontal="center"/>
    </xf>
    <xf numFmtId="0" fontId="0" fillId="5" borderId="1" xfId="0" applyFill="1" applyBorder="1"/>
    <xf numFmtId="0" fontId="0" fillId="5" borderId="21" xfId="0" applyFill="1" applyBorder="1"/>
    <xf numFmtId="0" fontId="0" fillId="5" borderId="2" xfId="0" applyFill="1" applyBorder="1"/>
    <xf numFmtId="0" fontId="5" fillId="0" borderId="21" xfId="1" applyBorder="1" applyAlignment="1">
      <alignment horizontal="center"/>
    </xf>
    <xf numFmtId="0" fontId="6" fillId="5" borderId="16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24"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ED3E-ED66-4EF6-BFD8-115060408182}">
  <sheetPr codeName="Sheet1"/>
  <dimension ref="A1:G42"/>
  <sheetViews>
    <sheetView topLeftCell="A4" zoomScale="85" zoomScaleNormal="85" workbookViewId="0">
      <selection activeCell="B7" sqref="B7:B8"/>
    </sheetView>
  </sheetViews>
  <sheetFormatPr defaultColWidth="9.109375"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26" customWidth="1"/>
    <col min="6" max="6" width="2.6640625" customWidth="1"/>
    <col min="7" max="7" width="101.44140625" customWidth="1"/>
    <col min="8" max="8" width="21.109375" customWidth="1"/>
  </cols>
  <sheetData>
    <row r="1" spans="1:7" ht="15" thickBot="1" x14ac:dyDescent="0.35"/>
    <row r="2" spans="1:7" ht="15" thickBot="1" x14ac:dyDescent="0.35">
      <c r="D2" s="46" t="s">
        <v>36</v>
      </c>
      <c r="E2" s="47"/>
      <c r="F2" s="5"/>
    </row>
    <row r="3" spans="1:7" ht="15" thickBot="1" x14ac:dyDescent="0.35">
      <c r="A3" s="4"/>
      <c r="B3" s="48" t="s">
        <v>45</v>
      </c>
      <c r="C3" s="49"/>
      <c r="D3" s="50" t="s">
        <v>0</v>
      </c>
      <c r="E3" s="51"/>
      <c r="F3" s="5"/>
    </row>
    <row r="4" spans="1:7" ht="15" thickBot="1" x14ac:dyDescent="0.35">
      <c r="B4" s="43" t="s">
        <v>1</v>
      </c>
      <c r="C4" s="44" t="s">
        <v>2</v>
      </c>
      <c r="D4" s="42" t="s">
        <v>3</v>
      </c>
      <c r="E4" s="7" t="s">
        <v>4</v>
      </c>
      <c r="F4" s="5"/>
      <c r="G4" s="45" t="s">
        <v>35</v>
      </c>
    </row>
    <row r="5" spans="1:7" ht="15" thickBot="1" x14ac:dyDescent="0.35">
      <c r="B5" s="6"/>
      <c r="C5" s="6"/>
      <c r="D5" s="5"/>
      <c r="F5" s="5"/>
    </row>
    <row r="6" spans="1:7" ht="15" customHeight="1" thickBot="1" x14ac:dyDescent="0.35">
      <c r="B6" s="6"/>
      <c r="C6" s="6"/>
      <c r="D6" s="22"/>
      <c r="E6" s="22"/>
      <c r="F6" s="5"/>
      <c r="G6" s="52" t="str">
        <f>IF(OR(ISBLANK(D6),ISBLANK(E6),TEXT(D6,"mmmm d, yyyy, h:mm:ss am/pm")&lt;&gt;D6,TEXT(E6,"mmmm d, yyyy, h:mm:ss am/pm")&lt;&gt;E6),
"Kindly add Analysis Timestamp!",
IF(OR(Formula_Sheet!L6=0,Formula_Sheet!L7=0),
"Fill performance score for Home page first!",
"The best recorded performance score was in " &amp; Formula_Sheet!J6 &amp; " devices " &amp; Formula_Sheet!J7 &amp; ", at " &amp; Formula_Sheet!L6 &amp; CHAR(10) &amp;
"The worst recorded performance score was in " &amp; Formula_Sheet!K6 &amp; " devices " &amp; Formula_Sheet!K7 &amp; ", at " &amp; Formula_Sheet!L7 &amp; CHAR(10) &amp;
"Refer to " &amp; Formula_Sheet!B7 &amp; " tab for the best and worst insight, links for full diagnostic readings and recommendations for improvement."
))</f>
        <v>Kindly add Analysis Timestamp!</v>
      </c>
    </row>
    <row r="7" spans="1:7" ht="15" thickBot="1" x14ac:dyDescent="0.35">
      <c r="B7" s="74" t="s">
        <v>37</v>
      </c>
      <c r="C7" s="8" t="s">
        <v>12</v>
      </c>
      <c r="D7" s="23"/>
      <c r="E7" s="23"/>
      <c r="F7" s="5"/>
      <c r="G7" s="53"/>
    </row>
    <row r="8" spans="1:7" ht="15" thickBot="1" x14ac:dyDescent="0.35">
      <c r="B8" s="75"/>
      <c r="C8" s="9" t="s">
        <v>14</v>
      </c>
      <c r="D8" s="23"/>
      <c r="E8" s="23"/>
      <c r="F8" s="5"/>
      <c r="G8" s="54"/>
    </row>
    <row r="9" spans="1:7" ht="15" thickBot="1" x14ac:dyDescent="0.35">
      <c r="B9" s="76"/>
      <c r="C9" s="5"/>
      <c r="D9" s="5"/>
      <c r="E9" s="5"/>
      <c r="F9" s="5"/>
      <c r="G9" s="5"/>
    </row>
    <row r="10" spans="1:7" ht="15" thickBot="1" x14ac:dyDescent="0.35">
      <c r="B10" s="6"/>
      <c r="C10" s="6"/>
      <c r="D10" s="22"/>
      <c r="E10" s="22"/>
      <c r="F10" s="5"/>
      <c r="G10" s="52" t="str">
        <f>IF(OR(ISBLANK(D10),ISBLANK(E10),TEXT(D10,"mmmm d, yyyy, h:mm:ss am/pm")&lt;&gt;D10,TEXT(E10,"mmmm d, yyyy, h:mm:ss am/pm")&lt;&gt;E10),
"Kindly add Analysis Timestamp!",
IF(OR(Formula_Sheet!L10=0,Formula_Sheet!L11=0),
"Fill performance score for Testing page first!",
"The best recorded performance score was in " &amp; Formula_Sheet!J10 &amp; " devices " &amp; Formula_Sheet!J11 &amp; ", at " &amp; Formula_Sheet!L10 &amp; CHAR(10) &amp;
"The worst recorded performance score was in " &amp; Formula_Sheet!K10 &amp; " devices " &amp; Formula_Sheet!K11 &amp; ", at " &amp; Formula_Sheet!L11 &amp; CHAR(10) &amp;
"Refer to " &amp; Formula_Sheet!B11 &amp; " tab for the best and worst insight, links for full diagnostic readings and recommendations for improvement."
))</f>
        <v>Kindly add Analysis Timestamp!</v>
      </c>
    </row>
    <row r="11" spans="1:7" ht="15" thickBot="1" x14ac:dyDescent="0.35">
      <c r="B11" s="74" t="s">
        <v>38</v>
      </c>
      <c r="C11" s="8" t="s">
        <v>12</v>
      </c>
      <c r="D11" s="23"/>
      <c r="E11" s="23"/>
      <c r="G11" s="53"/>
    </row>
    <row r="12" spans="1:7" ht="15" thickBot="1" x14ac:dyDescent="0.35">
      <c r="B12" s="75"/>
      <c r="C12" s="9" t="s">
        <v>14</v>
      </c>
      <c r="D12" s="23"/>
      <c r="E12" s="23"/>
      <c r="F12" s="5"/>
      <c r="G12" s="54"/>
    </row>
    <row r="13" spans="1:7" ht="15" thickBot="1" x14ac:dyDescent="0.35">
      <c r="B13" s="76"/>
      <c r="C13" s="5"/>
      <c r="D13" s="13"/>
      <c r="E13" s="13"/>
      <c r="F13" s="5"/>
      <c r="G13" s="5"/>
    </row>
    <row r="14" spans="1:7" ht="15" thickBot="1" x14ac:dyDescent="0.35">
      <c r="B14" s="6"/>
      <c r="C14" s="6"/>
      <c r="D14" s="22"/>
      <c r="E14" s="22"/>
      <c r="F14" s="5"/>
      <c r="G14" s="52" t="str">
        <f>IF(OR(ISBLANK(D14),ISBLANK(E14),TEXT(D14,"mmmm d, yyyy, h:mm:ss am/pm")&lt;&gt;D14,TEXT(E14,"mmmm d, yyyy, h:mm:ss am/pm")&lt;&gt;E14),
"Kindly add Analysis Timestamp!",
IF(OR(Formula_Sheet!L14=0,Formula_Sheet!L15=0),
"Fill performance score for About page first!",
"The best recorded performance score was in " &amp; Formula_Sheet!J14 &amp; " devices " &amp; Formula_Sheet!J15 &amp; ", at " &amp; Formula_Sheet!L14 &amp; CHAR(10) &amp;
"The worst recorded performance score was in " &amp; Formula_Sheet!K14 &amp; " devices " &amp; Formula_Sheet!K15 &amp; ", at " &amp; Formula_Sheet!L15 &amp; CHAR(10) &amp;
"Refer to " &amp; Formula_Sheet!B15 &amp; " tab for the best and worst insight, links for full diagnostic readings and recommendations for improvement."
))</f>
        <v>Kindly add Analysis Timestamp!</v>
      </c>
    </row>
    <row r="15" spans="1:7" ht="15" thickBot="1" x14ac:dyDescent="0.35">
      <c r="B15" s="74" t="s">
        <v>39</v>
      </c>
      <c r="C15" s="8" t="s">
        <v>12</v>
      </c>
      <c r="D15" s="23"/>
      <c r="E15" s="23"/>
      <c r="F15" s="5"/>
      <c r="G15" s="53"/>
    </row>
    <row r="16" spans="1:7" ht="15" thickBot="1" x14ac:dyDescent="0.35">
      <c r="B16" s="75"/>
      <c r="C16" s="9" t="s">
        <v>14</v>
      </c>
      <c r="D16" s="23"/>
      <c r="E16" s="23"/>
      <c r="F16" s="5"/>
      <c r="G16" s="54"/>
    </row>
    <row r="17" spans="2:7" ht="15" thickBot="1" x14ac:dyDescent="0.35">
      <c r="B17" s="76"/>
      <c r="C17" s="5"/>
      <c r="D17" s="13"/>
      <c r="E17" s="13"/>
      <c r="F17" s="5"/>
      <c r="G17" s="5"/>
    </row>
    <row r="18" spans="2:7" ht="15" thickBot="1" x14ac:dyDescent="0.35">
      <c r="B18" s="6"/>
      <c r="C18" s="6"/>
      <c r="D18" s="41"/>
      <c r="E18" s="22"/>
      <c r="F18" s="5"/>
      <c r="G18" s="52" t="str">
        <f>IF(OR(ISBLANK(D18),ISBLANK(E18),TEXT(D18,"mmmm d, yyyy, h:mm:ss am/pm")&lt;&gt;D18,TEXT(E18,"mmmm d, yyyy, h:mm:ss am/pm")&lt;&gt;E18),
"Kindly add Analysis Timestamp!",
IF(OR(Formula_Sheet!L18=0,Formula_Sheet!L19=0),
"Fill performance score for News page first!",
"The best recorded performance score was in " &amp; Formula_Sheet!J18 &amp; " devices " &amp; Formula_Sheet!J19 &amp; ", at " &amp; Formula_Sheet!L18 &amp; CHAR(10) &amp;
"The worst recorded performance score was in " &amp; Formula_Sheet!K18 &amp; " devices " &amp; Formula_Sheet!K19 &amp; ", at " &amp; Formula_Sheet!L19 &amp; CHAR(10) &amp;
"Refer to " &amp; Formula_Sheet!B19 &amp; " tab for the best and worst insight, links for full diagnostic readings and recommendations for improvement."
))</f>
        <v>Kindly add Analysis Timestamp!</v>
      </c>
    </row>
    <row r="19" spans="2:7" ht="15" thickBot="1" x14ac:dyDescent="0.35">
      <c r="B19" s="74" t="s">
        <v>40</v>
      </c>
      <c r="C19" s="8" t="s">
        <v>12</v>
      </c>
      <c r="D19" s="23"/>
      <c r="E19" s="23"/>
      <c r="F19" s="5"/>
      <c r="G19" s="53"/>
    </row>
    <row r="20" spans="2:7" ht="15" thickBot="1" x14ac:dyDescent="0.35">
      <c r="B20" s="75"/>
      <c r="C20" s="9" t="s">
        <v>14</v>
      </c>
      <c r="D20" s="23"/>
      <c r="E20" s="23"/>
      <c r="F20" s="5"/>
      <c r="G20" s="54"/>
    </row>
    <row r="21" spans="2:7" ht="15" thickBot="1" x14ac:dyDescent="0.35">
      <c r="B21" s="76"/>
      <c r="C21" s="5"/>
      <c r="D21" s="13"/>
      <c r="E21" s="13"/>
      <c r="F21" s="5"/>
      <c r="G21" s="5"/>
    </row>
    <row r="22" spans="2:7" ht="15" thickBot="1" x14ac:dyDescent="0.35">
      <c r="B22" s="6"/>
      <c r="C22" s="6"/>
      <c r="D22" s="22"/>
      <c r="E22" s="22"/>
      <c r="F22" s="5"/>
      <c r="G22" s="52" t="str">
        <f>IF(OR(ISBLANK(D22),ISBLANK(E22),TEXT(D22,"mmmm d, yyyy, h:mm:ss am/pm")&lt;&gt;D22,TEXT(E22,"mmmm d, yyyy, h:mm:ss am/pm")&lt;&gt;E22),
"Kindly add Analysis Timestamp!",
IF(OR(Formula_Sheet!L22=0,Formula_Sheet!L23=0),
"Fill performance score for Careers page first!",
"The best recorded performance score was in " &amp; Formula_Sheet!J22 &amp; " devices " &amp; Formula_Sheet!J23 &amp; ", at " &amp; Formula_Sheet!L22 &amp; CHAR(10) &amp;
"The worst recorded performance score was in " &amp; Formula_Sheet!K22 &amp; " devices " &amp; Formula_Sheet!K23 &amp; ", at " &amp; Formula_Sheet!L23 &amp; CHAR(10) &amp;
"Refer to " &amp; Formula_Sheet!B23 &amp; " tab for the best and worst insight, links for full diagnostic readings and recommendations for improvement."
))</f>
        <v>Kindly add Analysis Timestamp!</v>
      </c>
    </row>
    <row r="23" spans="2:7" ht="15" thickBot="1" x14ac:dyDescent="0.35">
      <c r="B23" s="74" t="s">
        <v>41</v>
      </c>
      <c r="C23" s="8" t="s">
        <v>12</v>
      </c>
      <c r="D23" s="23"/>
      <c r="E23" s="23"/>
      <c r="F23" s="5"/>
      <c r="G23" s="53"/>
    </row>
    <row r="24" spans="2:7" ht="15" thickBot="1" x14ac:dyDescent="0.35">
      <c r="B24" s="75"/>
      <c r="C24" s="9" t="s">
        <v>14</v>
      </c>
      <c r="D24" s="23"/>
      <c r="E24" s="23"/>
      <c r="F24" s="5"/>
      <c r="G24" s="54"/>
    </row>
    <row r="25" spans="2:7" ht="15" thickBot="1" x14ac:dyDescent="0.35">
      <c r="B25" s="76"/>
      <c r="C25" s="5"/>
      <c r="D25" s="13"/>
      <c r="E25" s="34"/>
      <c r="F25" s="5"/>
      <c r="G25" s="5"/>
    </row>
    <row r="26" spans="2:7" ht="15" thickBot="1" x14ac:dyDescent="0.35">
      <c r="B26" s="6"/>
      <c r="C26" s="6"/>
      <c r="D26" s="22"/>
      <c r="E26" s="22"/>
      <c r="F26" s="5"/>
      <c r="G26" s="52" t="str">
        <f>IF(OR(ISBLANK(D26),ISBLANK(E26),TEXT(D26,"mmmm d, yyyy, h:mm:ss am/pm")&lt;&gt;D26,TEXT(E26,"mmmm d, yyyy, h:mm:ss am/pm")&lt;&gt;E26),
"Kindly add Analysis Timestamp!",
IF(OR(Formula_Sheet!L26=0,Formula_Sheet!L27=0),
"Fill performance score for Contact page first!",
"The best recorded performance score was in " &amp; Formula_Sheet!J26 &amp; " devices " &amp; Formula_Sheet!J27 &amp; ", at " &amp; Formula_Sheet!L26 &amp; CHAR(10) &amp;
"The worst recorded performance score was in " &amp; Formula_Sheet!K26 &amp; " devices " &amp; Formula_Sheet!K27 &amp; ", at " &amp; Formula_Sheet!L27 &amp; CHAR(10) &amp;
"Refer to " &amp; Formula_Sheet!B27 &amp; " tab for the best and worst insight, links for full diagnostic readings and recommendations for improvement."
))</f>
        <v>Kindly add Analysis Timestamp!</v>
      </c>
    </row>
    <row r="27" spans="2:7" ht="15" thickBot="1" x14ac:dyDescent="0.35">
      <c r="B27" s="74" t="s">
        <v>42</v>
      </c>
      <c r="C27" s="8" t="s">
        <v>12</v>
      </c>
      <c r="D27" s="23"/>
      <c r="E27" s="23"/>
      <c r="F27" s="5"/>
      <c r="G27" s="53"/>
    </row>
    <row r="28" spans="2:7" ht="15" thickBot="1" x14ac:dyDescent="0.35">
      <c r="B28" s="75"/>
      <c r="C28" s="9" t="s">
        <v>14</v>
      </c>
      <c r="D28" s="23"/>
      <c r="E28" s="23"/>
      <c r="F28" s="5"/>
      <c r="G28" s="54"/>
    </row>
    <row r="29" spans="2:7" ht="15" thickBot="1" x14ac:dyDescent="0.35">
      <c r="B29" s="76"/>
      <c r="C29" s="5"/>
      <c r="D29" s="13"/>
      <c r="E29" s="13"/>
      <c r="F29" s="5"/>
      <c r="G29" s="5"/>
    </row>
    <row r="30" spans="2:7" ht="15" thickBot="1" x14ac:dyDescent="0.35">
      <c r="B30" s="6"/>
      <c r="C30" s="6"/>
      <c r="D30" s="22"/>
      <c r="E30" s="41"/>
      <c r="F30" s="5"/>
      <c r="G30" s="52" t="str">
        <f>IF(OR(ISBLANK(D30),ISBLANK(E30),TEXT(D30,"mmmm d, yyyy, h:mm:ss am/pm")&lt;&gt;D30,TEXT(E30,"mmmm d, yyyy, h:mm:ss am/pm")&lt;&gt;E30),
"Kindly add Analysis Timestamp!",
IF(OR(Formula_Sheet!L30=0,Formula_Sheet!L31=0),
"Fill performance score for Privacy page first!",
"The best recorded performance score was in " &amp; Formula_Sheet!J30 &amp; " devices " &amp; Formula_Sheet!J31 &amp; ", at " &amp; Formula_Sheet!L30 &amp; CHAR(10) &amp;
"The worst recorded performance score was in " &amp; Formula_Sheet!K30 &amp; " devices " &amp; Formula_Sheet!K31 &amp; ", at " &amp; Formula_Sheet!L31 &amp; CHAR(10) &amp;
"Refer to " &amp; Formula_Sheet!B31 &amp; " tab for the best and worst insight, links for full diagnostic readings and recommendations for improvement."
))</f>
        <v>Kindly add Analysis Timestamp!</v>
      </c>
    </row>
    <row r="31" spans="2:7" ht="15" thickBot="1" x14ac:dyDescent="0.35">
      <c r="B31" s="74" t="s">
        <v>43</v>
      </c>
      <c r="C31" s="8" t="s">
        <v>12</v>
      </c>
      <c r="D31" s="23"/>
      <c r="E31" s="23"/>
      <c r="F31" s="5"/>
      <c r="G31" s="53"/>
    </row>
    <row r="32" spans="2:7" ht="15" thickBot="1" x14ac:dyDescent="0.35">
      <c r="B32" s="75"/>
      <c r="C32" s="9" t="s">
        <v>14</v>
      </c>
      <c r="D32" s="23"/>
      <c r="E32" s="23"/>
      <c r="F32" s="5"/>
      <c r="G32" s="54"/>
    </row>
    <row r="33" spans="2:7" ht="15" thickBot="1" x14ac:dyDescent="0.35">
      <c r="B33" s="76"/>
      <c r="C33" s="5"/>
      <c r="D33" s="13"/>
      <c r="E33" s="13"/>
      <c r="F33" s="5"/>
      <c r="G33" s="36"/>
    </row>
    <row r="34" spans="2:7" ht="14.4" customHeight="1" thickBot="1" x14ac:dyDescent="0.35">
      <c r="B34" s="6"/>
      <c r="C34" s="6"/>
      <c r="D34" s="22"/>
      <c r="E34" s="41"/>
      <c r="F34" s="5"/>
      <c r="G34" s="52" t="str">
        <f>IF(OR(ISBLANK(D34),ISBLANK(E34),TEXT(D34,"mmmm d, yyyy, h:mm:ss am/pm")&lt;&gt;D34,TEXT(E34,"mmmm d, yyyy, h:mm:ss am/pm")&lt;&gt;E34),
"Kindly add Analysis Timestamp!",
IF(OR(Formula_Sheet!L34=0,Formula_Sheet!L35=0),
"Fill performance score for Game Testing page first!",
"The best recorded performance score was in " &amp; Formula_Sheet!J34 &amp; " devices " &amp; Formula_Sheet!J35 &amp; ", at " &amp; Formula_Sheet!L34 &amp; CHAR(10) &amp;
"The worst recorded performance score was in " &amp; Formula_Sheet!K34 &amp; " devices " &amp; Formula_Sheet!K35 &amp; ", at " &amp; Formula_Sheet!L35 &amp; CHAR(10) &amp;
"Refer to " &amp; Formula_Sheet!B35 &amp; " tab for the best and worst insight, links for full diagnostic readings and recommendations for improvement."
))</f>
        <v>Kindly add Analysis Timestamp!</v>
      </c>
    </row>
    <row r="35" spans="2:7" ht="15" thickBot="1" x14ac:dyDescent="0.35">
      <c r="B35" s="74" t="s">
        <v>44</v>
      </c>
      <c r="C35" s="8" t="s">
        <v>12</v>
      </c>
      <c r="D35" s="23"/>
      <c r="E35" s="23"/>
      <c r="F35" s="5"/>
      <c r="G35" s="53"/>
    </row>
    <row r="36" spans="2:7" ht="15" thickBot="1" x14ac:dyDescent="0.35">
      <c r="B36" s="75"/>
      <c r="C36" s="9" t="s">
        <v>14</v>
      </c>
      <c r="D36" s="23"/>
      <c r="E36" s="23"/>
      <c r="F36" s="5"/>
      <c r="G36" s="54"/>
    </row>
    <row r="37" spans="2:7" ht="15" thickBot="1" x14ac:dyDescent="0.35">
      <c r="C37" s="5"/>
      <c r="D37" s="5"/>
      <c r="F37" s="5"/>
      <c r="G37" s="5"/>
    </row>
    <row r="38" spans="2:7" ht="14.4" customHeight="1" x14ac:dyDescent="0.3">
      <c r="C38" s="10" t="s">
        <v>15</v>
      </c>
      <c r="D38" s="1" t="s">
        <v>16</v>
      </c>
      <c r="F38" s="5"/>
      <c r="G38" s="52" t="str" cm="1">
        <f t="array" aca="1" ref="G38" ca="1">IF(OR(Formula_Sheet!J39=0,Formula_Sheet!K39=0),
"Kindly, fill the Performance Score first!",
"The best recorded performance score was in the " &amp; Formula_Sheet!J46 &amp; " page for " &amp; INDIRECT(Formula_Sheet!J43) &amp; " devices " &amp; Formula_Sheet!J35 &amp; ", at " &amp; Formula_Sheet!J39 &amp; CHAR(10) &amp;
"Refer to " &amp; Formula_Sheet!J45 &amp; " tab for the best insight, links for full diagnostic readings and recommendations for improvement." &amp; CHAR(10) &amp; CHAR(10) &amp;
"The worst recorded performance score was in the " &amp; Formula_Sheet!K46 &amp; " page for " &amp; INDIRECT(Formula_Sheet!K43) &amp; " devices " &amp; Formula_Sheet!K35 &amp; ", at " &amp; Formula_Sheet!K39 &amp; CHAR(10) &amp;
"Refer to " &amp; Formula_Sheet!K45 &amp; " tab for the worst insight, links for full diagnostic readings and recommendations for improvement."
)</f>
        <v>Kindly, fill the Performance Score first!</v>
      </c>
    </row>
    <row r="39" spans="2:7" x14ac:dyDescent="0.3">
      <c r="C39" s="11" t="s">
        <v>18</v>
      </c>
      <c r="D39" s="2" t="s">
        <v>19</v>
      </c>
      <c r="F39" s="5"/>
      <c r="G39" s="53"/>
    </row>
    <row r="40" spans="2:7" ht="15" thickBot="1" x14ac:dyDescent="0.35">
      <c r="C40" s="12" t="s">
        <v>21</v>
      </c>
      <c r="D40" s="3" t="s">
        <v>22</v>
      </c>
      <c r="F40" s="5"/>
      <c r="G40" s="53"/>
    </row>
    <row r="41" spans="2:7" x14ac:dyDescent="0.3">
      <c r="G41" s="53"/>
    </row>
    <row r="42" spans="2:7" ht="31.2" customHeight="1" thickBot="1" x14ac:dyDescent="0.35">
      <c r="G42" s="54"/>
    </row>
  </sheetData>
  <mergeCells count="20">
    <mergeCell ref="G6:G8"/>
    <mergeCell ref="G18:G20"/>
    <mergeCell ref="G38:G42"/>
    <mergeCell ref="G30:G32"/>
    <mergeCell ref="B31:B32"/>
    <mergeCell ref="G34:G36"/>
    <mergeCell ref="B35:B36"/>
    <mergeCell ref="B15:B16"/>
    <mergeCell ref="B19:B20"/>
    <mergeCell ref="G22:G24"/>
    <mergeCell ref="B23:B24"/>
    <mergeCell ref="G26:G28"/>
    <mergeCell ref="B27:B28"/>
    <mergeCell ref="G14:G16"/>
    <mergeCell ref="G10:G12"/>
    <mergeCell ref="D2:E2"/>
    <mergeCell ref="B3:C3"/>
    <mergeCell ref="D3:E3"/>
    <mergeCell ref="B7:B8"/>
    <mergeCell ref="B11:B12"/>
  </mergeCells>
  <conditionalFormatting sqref="D7:E8">
    <cfRule type="cellIs" dxfId="23" priority="1" operator="lessThan">
      <formula>1</formula>
    </cfRule>
    <cfRule type="cellIs" dxfId="22" priority="2" operator="lessThan">
      <formula>50</formula>
    </cfRule>
    <cfRule type="cellIs" dxfId="21" priority="3" operator="lessThan">
      <formula>90</formula>
    </cfRule>
  </conditionalFormatting>
  <conditionalFormatting sqref="D11:E12">
    <cfRule type="cellIs" dxfId="20" priority="4" operator="lessThan">
      <formula>1</formula>
    </cfRule>
    <cfRule type="cellIs" dxfId="19" priority="5" operator="lessThan">
      <formula>50</formula>
    </cfRule>
    <cfRule type="cellIs" dxfId="18" priority="6" operator="lessThan">
      <formula>90</formula>
    </cfRule>
  </conditionalFormatting>
  <conditionalFormatting sqref="D15:E16">
    <cfRule type="cellIs" dxfId="17" priority="7" operator="lessThan">
      <formula>1</formula>
    </cfRule>
    <cfRule type="cellIs" dxfId="16" priority="8" operator="lessThan">
      <formula>50</formula>
    </cfRule>
    <cfRule type="cellIs" dxfId="15" priority="9" operator="lessThan">
      <formula>90</formula>
    </cfRule>
  </conditionalFormatting>
  <conditionalFormatting sqref="D19:E20">
    <cfRule type="cellIs" dxfId="14" priority="10" operator="lessThan">
      <formula>1</formula>
    </cfRule>
    <cfRule type="cellIs" dxfId="13" priority="11" operator="lessThan">
      <formula>50</formula>
    </cfRule>
    <cfRule type="cellIs" dxfId="12" priority="12" operator="lessThan">
      <formula>90</formula>
    </cfRule>
  </conditionalFormatting>
  <conditionalFormatting sqref="D23:E24">
    <cfRule type="cellIs" dxfId="11" priority="13" operator="lessThan">
      <formula>1</formula>
    </cfRule>
    <cfRule type="cellIs" dxfId="10" priority="14" operator="lessThan">
      <formula>50</formula>
    </cfRule>
    <cfRule type="cellIs" dxfId="9" priority="15" operator="lessThan">
      <formula>90</formula>
    </cfRule>
  </conditionalFormatting>
  <conditionalFormatting sqref="D27:E28">
    <cfRule type="cellIs" dxfId="8" priority="16" operator="lessThan">
      <formula>1</formula>
    </cfRule>
    <cfRule type="cellIs" dxfId="7" priority="17" operator="lessThan">
      <formula>50</formula>
    </cfRule>
    <cfRule type="cellIs" dxfId="6" priority="18" operator="lessThan">
      <formula>90</formula>
    </cfRule>
  </conditionalFormatting>
  <conditionalFormatting sqref="D31:E32">
    <cfRule type="cellIs" dxfId="5" priority="19" operator="lessThan">
      <formula>1</formula>
    </cfRule>
    <cfRule type="cellIs" dxfId="4" priority="20" operator="lessThan">
      <formula>50</formula>
    </cfRule>
    <cfRule type="cellIs" dxfId="3" priority="21" operator="lessThan">
      <formula>90</formula>
    </cfRule>
  </conditionalFormatting>
  <conditionalFormatting sqref="D35:E36">
    <cfRule type="cellIs" dxfId="2" priority="22" operator="lessThan">
      <formula>1</formula>
    </cfRule>
    <cfRule type="cellIs" dxfId="1" priority="23" operator="lessThan">
      <formula>50</formula>
    </cfRule>
    <cfRule type="cellIs" dxfId="0" priority="24" operator="lessThan">
      <formula>90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F55B9-0083-44F1-9B1A-CBDC42D16A9A}">
  <sheetPr codeName="Sheet2"/>
  <dimension ref="B1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554687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x14ac:dyDescent="0.3">
      <c r="C2" s="55">
        <f>Summary!D6</f>
        <v>0</v>
      </c>
      <c r="D2" s="56"/>
    </row>
    <row r="3" spans="2:5" x14ac:dyDescent="0.3">
      <c r="B3" s="57" t="str">
        <f>Summary!B7</f>
        <v>01_Home</v>
      </c>
      <c r="C3" s="60" t="s">
        <v>12</v>
      </c>
      <c r="D3" s="18" t="s">
        <v>3</v>
      </c>
      <c r="E3" s="17"/>
    </row>
    <row r="4" spans="2:5" x14ac:dyDescent="0.3">
      <c r="B4" s="58"/>
      <c r="C4" s="61"/>
      <c r="D4" s="19" t="s">
        <v>4</v>
      </c>
      <c r="E4" s="17"/>
    </row>
    <row r="5" spans="2:5" x14ac:dyDescent="0.3">
      <c r="B5" s="58"/>
      <c r="C5" s="61" t="s">
        <v>14</v>
      </c>
      <c r="D5" s="19" t="s">
        <v>3</v>
      </c>
      <c r="E5" s="17"/>
    </row>
    <row r="6" spans="2:5" x14ac:dyDescent="0.3">
      <c r="B6" s="59"/>
      <c r="C6" s="62"/>
      <c r="D6" s="20" t="s">
        <v>4</v>
      </c>
      <c r="E6" s="17"/>
    </row>
    <row r="7" spans="2:5" x14ac:dyDescent="0.3">
      <c r="B7" s="14"/>
      <c r="C7" s="14"/>
      <c r="E7" s="15"/>
    </row>
    <row r="8" spans="2:5" ht="14.4" customHeight="1" thickBot="1" x14ac:dyDescent="0.35">
      <c r="B8" t="s">
        <v>30</v>
      </c>
    </row>
    <row r="9" spans="2:5" ht="15" thickBot="1" x14ac:dyDescent="0.35">
      <c r="B9" t="s">
        <v>31</v>
      </c>
      <c r="C9" s="63">
        <f>E3</f>
        <v>0</v>
      </c>
      <c r="D9" s="64"/>
      <c r="E9" s="65"/>
    </row>
    <row r="10" spans="2:5" ht="15" thickBot="1" x14ac:dyDescent="0.35">
      <c r="B10" t="s">
        <v>32</v>
      </c>
      <c r="C10" s="66"/>
      <c r="D10" s="67"/>
    </row>
    <row r="11" spans="2:5" ht="15" thickBot="1" x14ac:dyDescent="0.35">
      <c r="B11" t="s">
        <v>33</v>
      </c>
      <c r="C11" s="68"/>
      <c r="D11" s="69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24" spans="2:5" ht="15" thickBot="1" x14ac:dyDescent="0.35">
      <c r="B24" t="s">
        <v>34</v>
      </c>
    </row>
    <row r="25" spans="2:5" ht="15" thickBot="1" x14ac:dyDescent="0.35">
      <c r="B25" t="s">
        <v>31</v>
      </c>
      <c r="C25" s="63">
        <f>E5</f>
        <v>0</v>
      </c>
      <c r="D25" s="64"/>
      <c r="E25" s="65"/>
    </row>
    <row r="26" spans="2:5" ht="15" thickBot="1" x14ac:dyDescent="0.35">
      <c r="B26" t="s">
        <v>32</v>
      </c>
      <c r="C26" s="70"/>
      <c r="D26" s="71"/>
      <c r="E26" s="72"/>
    </row>
    <row r="27" spans="2:5" ht="15" thickBot="1" x14ac:dyDescent="0.35">
      <c r="B27" t="s">
        <v>33</v>
      </c>
      <c r="C27" s="68"/>
      <c r="D27" s="73"/>
      <c r="E27" s="69"/>
    </row>
  </sheetData>
  <mergeCells count="10">
    <mergeCell ref="C10:D10"/>
    <mergeCell ref="C11:D11"/>
    <mergeCell ref="C25:E25"/>
    <mergeCell ref="C26:E26"/>
    <mergeCell ref="C27:E27"/>
    <mergeCell ref="C2:D2"/>
    <mergeCell ref="B3:B6"/>
    <mergeCell ref="C3:C4"/>
    <mergeCell ref="C5:C6"/>
    <mergeCell ref="C9:E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D02A4-EB3E-4DA1-B09D-21DE109734FA}">
  <sheetPr codeName="Sheet3"/>
  <dimension ref="B1:E30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4414062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x14ac:dyDescent="0.3">
      <c r="C2" s="55">
        <f>Summary!D10</f>
        <v>0</v>
      </c>
      <c r="D2" s="56"/>
    </row>
    <row r="3" spans="2:5" x14ac:dyDescent="0.3">
      <c r="B3" s="57" t="str">
        <f>Summary!B11</f>
        <v>02_Testing</v>
      </c>
      <c r="C3" s="60" t="s">
        <v>12</v>
      </c>
      <c r="D3" s="18" t="s">
        <v>3</v>
      </c>
      <c r="E3" s="17"/>
    </row>
    <row r="4" spans="2:5" x14ac:dyDescent="0.3">
      <c r="B4" s="58"/>
      <c r="C4" s="61"/>
      <c r="D4" s="19" t="s">
        <v>4</v>
      </c>
      <c r="E4" s="17"/>
    </row>
    <row r="5" spans="2:5" x14ac:dyDescent="0.3">
      <c r="B5" s="58"/>
      <c r="C5" s="61" t="s">
        <v>14</v>
      </c>
      <c r="D5" s="19" t="s">
        <v>3</v>
      </c>
      <c r="E5" s="17"/>
    </row>
    <row r="6" spans="2:5" x14ac:dyDescent="0.3">
      <c r="B6" s="59"/>
      <c r="C6" s="62"/>
      <c r="D6" s="20" t="s">
        <v>4</v>
      </c>
      <c r="E6" s="17"/>
    </row>
    <row r="7" spans="2:5" x14ac:dyDescent="0.3">
      <c r="B7" s="14"/>
      <c r="C7" s="14"/>
      <c r="E7" s="15"/>
    </row>
    <row r="8" spans="2:5" ht="15" thickBot="1" x14ac:dyDescent="0.35">
      <c r="B8" t="s">
        <v>30</v>
      </c>
    </row>
    <row r="9" spans="2:5" ht="15" thickBot="1" x14ac:dyDescent="0.35">
      <c r="B9" t="s">
        <v>31</v>
      </c>
      <c r="C9" s="63">
        <f>E3</f>
        <v>0</v>
      </c>
      <c r="D9" s="64"/>
      <c r="E9" s="65"/>
    </row>
    <row r="10" spans="2:5" ht="15" thickBot="1" x14ac:dyDescent="0.35">
      <c r="B10" t="s">
        <v>32</v>
      </c>
      <c r="C10" s="66"/>
      <c r="D10" s="67"/>
    </row>
    <row r="11" spans="2:5" ht="15" thickBot="1" x14ac:dyDescent="0.35">
      <c r="B11" t="s">
        <v>33</v>
      </c>
      <c r="C11" s="68"/>
      <c r="D11" s="69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17" spans="2:5" x14ac:dyDescent="0.3">
      <c r="C17" s="16"/>
      <c r="D17" s="16"/>
    </row>
    <row r="18" spans="2:5" x14ac:dyDescent="0.3">
      <c r="C18" s="16"/>
      <c r="D18" s="16"/>
    </row>
    <row r="19" spans="2:5" x14ac:dyDescent="0.3">
      <c r="C19" s="16"/>
      <c r="D19" s="16"/>
    </row>
    <row r="24" spans="2:5" ht="15" thickBot="1" x14ac:dyDescent="0.35">
      <c r="B24" t="s">
        <v>34</v>
      </c>
    </row>
    <row r="25" spans="2:5" ht="15" thickBot="1" x14ac:dyDescent="0.35">
      <c r="B25" t="s">
        <v>31</v>
      </c>
      <c r="C25" s="63">
        <f>E5</f>
        <v>0</v>
      </c>
      <c r="D25" s="64"/>
      <c r="E25" s="65"/>
    </row>
    <row r="26" spans="2:5" ht="15" thickBot="1" x14ac:dyDescent="0.35">
      <c r="B26" t="s">
        <v>32</v>
      </c>
      <c r="C26" s="70"/>
      <c r="D26" s="71"/>
      <c r="E26" s="72"/>
    </row>
    <row r="27" spans="2:5" ht="15" thickBot="1" x14ac:dyDescent="0.35">
      <c r="B27" t="s">
        <v>33</v>
      </c>
      <c r="C27" s="68"/>
      <c r="D27" s="73"/>
      <c r="E27" s="69"/>
    </row>
    <row r="30" spans="2:5" x14ac:dyDescent="0.3">
      <c r="C30" s="21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692C-8D28-41B6-9AD3-6D28106F46D8}">
  <sheetPr codeName="Sheet4"/>
  <dimension ref="B1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554687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ht="15" thickBot="1" x14ac:dyDescent="0.35">
      <c r="C2" s="55">
        <f>Summary!D14</f>
        <v>0</v>
      </c>
      <c r="D2" s="56"/>
    </row>
    <row r="3" spans="2:5" ht="15" thickBot="1" x14ac:dyDescent="0.35">
      <c r="B3" s="57" t="str">
        <f>Summary!B15</f>
        <v>03_About</v>
      </c>
      <c r="C3" s="60" t="s">
        <v>12</v>
      </c>
      <c r="D3" s="18" t="s">
        <v>3</v>
      </c>
      <c r="E3" s="17"/>
    </row>
    <row r="4" spans="2:5" ht="15" thickBot="1" x14ac:dyDescent="0.35">
      <c r="B4" s="58"/>
      <c r="C4" s="61"/>
      <c r="D4" s="19" t="s">
        <v>4</v>
      </c>
      <c r="E4" s="17"/>
    </row>
    <row r="5" spans="2:5" ht="15" thickBot="1" x14ac:dyDescent="0.35">
      <c r="B5" s="58"/>
      <c r="C5" s="61" t="s">
        <v>14</v>
      </c>
      <c r="D5" s="19" t="s">
        <v>3</v>
      </c>
      <c r="E5" s="17"/>
    </row>
    <row r="6" spans="2:5" ht="15" thickBot="1" x14ac:dyDescent="0.35">
      <c r="B6" s="59"/>
      <c r="C6" s="62"/>
      <c r="D6" s="20" t="s">
        <v>4</v>
      </c>
      <c r="E6" s="17"/>
    </row>
    <row r="7" spans="2:5" x14ac:dyDescent="0.3">
      <c r="B7" s="14"/>
      <c r="C7" s="14"/>
      <c r="E7" s="15"/>
    </row>
    <row r="8" spans="2:5" ht="15" thickBot="1" x14ac:dyDescent="0.35">
      <c r="B8" t="s">
        <v>30</v>
      </c>
    </row>
    <row r="9" spans="2:5" ht="15" thickBot="1" x14ac:dyDescent="0.35">
      <c r="B9" t="s">
        <v>31</v>
      </c>
      <c r="C9" s="63">
        <f>E3</f>
        <v>0</v>
      </c>
      <c r="D9" s="64"/>
      <c r="E9" s="65"/>
    </row>
    <row r="10" spans="2:5" ht="15" thickBot="1" x14ac:dyDescent="0.35">
      <c r="B10" t="s">
        <v>32</v>
      </c>
      <c r="C10" s="66"/>
      <c r="D10" s="67"/>
    </row>
    <row r="11" spans="2:5" ht="15" thickBot="1" x14ac:dyDescent="0.35">
      <c r="B11" t="s">
        <v>33</v>
      </c>
      <c r="C11" s="68"/>
      <c r="D11" s="69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24" spans="2:5" ht="15" thickBot="1" x14ac:dyDescent="0.35">
      <c r="B24" t="s">
        <v>34</v>
      </c>
    </row>
    <row r="25" spans="2:5" ht="15" thickBot="1" x14ac:dyDescent="0.35">
      <c r="B25" t="s">
        <v>31</v>
      </c>
      <c r="C25" s="63">
        <f>E5</f>
        <v>0</v>
      </c>
      <c r="D25" s="64"/>
      <c r="E25" s="65"/>
    </row>
    <row r="26" spans="2:5" ht="15" thickBot="1" x14ac:dyDescent="0.35">
      <c r="B26" t="s">
        <v>32</v>
      </c>
      <c r="C26" s="70"/>
      <c r="D26" s="71"/>
      <c r="E26" s="72"/>
    </row>
    <row r="27" spans="2:5" ht="15" thickBot="1" x14ac:dyDescent="0.35">
      <c r="B27" t="s">
        <v>33</v>
      </c>
      <c r="C27" s="68"/>
      <c r="D27" s="73"/>
      <c r="E27" s="69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93A7-7B41-43F7-893B-45F15C78D9DC}">
  <sheetPr codeName="Sheet5"/>
  <dimension ref="B1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554687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ht="15" thickBot="1" x14ac:dyDescent="0.35">
      <c r="C2" s="55">
        <f>Summary!D18</f>
        <v>0</v>
      </c>
      <c r="D2" s="56"/>
    </row>
    <row r="3" spans="2:5" ht="15" thickBot="1" x14ac:dyDescent="0.35">
      <c r="B3" s="57" t="str">
        <f>Summary!B19</f>
        <v>04_News</v>
      </c>
      <c r="C3" s="60" t="s">
        <v>12</v>
      </c>
      <c r="D3" s="18" t="s">
        <v>3</v>
      </c>
      <c r="E3" s="17"/>
    </row>
    <row r="4" spans="2:5" ht="15" thickBot="1" x14ac:dyDescent="0.35">
      <c r="B4" s="58"/>
      <c r="C4" s="61"/>
      <c r="D4" s="19" t="s">
        <v>4</v>
      </c>
      <c r="E4" s="17"/>
    </row>
    <row r="5" spans="2:5" ht="15" thickBot="1" x14ac:dyDescent="0.35">
      <c r="B5" s="58"/>
      <c r="C5" s="61" t="s">
        <v>14</v>
      </c>
      <c r="D5" s="19" t="s">
        <v>3</v>
      </c>
      <c r="E5" s="17"/>
    </row>
    <row r="6" spans="2:5" ht="15" thickBot="1" x14ac:dyDescent="0.35">
      <c r="B6" s="59"/>
      <c r="C6" s="62"/>
      <c r="D6" s="20" t="s">
        <v>4</v>
      </c>
      <c r="E6" s="17"/>
    </row>
    <row r="7" spans="2:5" x14ac:dyDescent="0.3">
      <c r="B7" s="14"/>
      <c r="C7" s="14"/>
      <c r="E7" s="15"/>
    </row>
    <row r="8" spans="2:5" ht="15" thickBot="1" x14ac:dyDescent="0.35">
      <c r="B8" t="s">
        <v>30</v>
      </c>
    </row>
    <row r="9" spans="2:5" ht="15" thickBot="1" x14ac:dyDescent="0.35">
      <c r="B9" t="s">
        <v>31</v>
      </c>
      <c r="C9" s="63">
        <f>E3</f>
        <v>0</v>
      </c>
      <c r="D9" s="64"/>
      <c r="E9" s="65"/>
    </row>
    <row r="10" spans="2:5" ht="15" thickBot="1" x14ac:dyDescent="0.35">
      <c r="B10" t="s">
        <v>32</v>
      </c>
      <c r="C10" s="66"/>
      <c r="D10" s="67"/>
    </row>
    <row r="11" spans="2:5" ht="15" thickBot="1" x14ac:dyDescent="0.35">
      <c r="B11" t="s">
        <v>33</v>
      </c>
      <c r="C11" s="68"/>
      <c r="D11" s="69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17" spans="2:5" x14ac:dyDescent="0.3">
      <c r="C17" s="16"/>
      <c r="D17" s="16"/>
    </row>
    <row r="18" spans="2:5" x14ac:dyDescent="0.3">
      <c r="C18" s="16"/>
      <c r="D18" s="16"/>
    </row>
    <row r="19" spans="2:5" x14ac:dyDescent="0.3">
      <c r="C19" s="16"/>
      <c r="D19" s="16"/>
    </row>
    <row r="24" spans="2:5" ht="15" thickBot="1" x14ac:dyDescent="0.35">
      <c r="B24" t="s">
        <v>34</v>
      </c>
    </row>
    <row r="25" spans="2:5" ht="15" thickBot="1" x14ac:dyDescent="0.35">
      <c r="B25" t="s">
        <v>31</v>
      </c>
      <c r="C25" s="63">
        <f>E5</f>
        <v>0</v>
      </c>
      <c r="D25" s="64"/>
      <c r="E25" s="65"/>
    </row>
    <row r="26" spans="2:5" ht="15" thickBot="1" x14ac:dyDescent="0.35">
      <c r="B26" t="s">
        <v>32</v>
      </c>
      <c r="C26" s="70"/>
      <c r="D26" s="71"/>
      <c r="E26" s="72"/>
    </row>
    <row r="27" spans="2:5" ht="15" thickBot="1" x14ac:dyDescent="0.35">
      <c r="B27" t="s">
        <v>33</v>
      </c>
      <c r="C27" s="68"/>
      <c r="D27" s="73"/>
      <c r="E27" s="69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F2DB-0020-469F-8BA3-7660EE65C4AC}">
  <sheetPr codeName="Sheet6"/>
  <dimension ref="B1:E29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5546875" customWidth="1"/>
    <col min="6" max="6" width="2.6640625" customWidth="1"/>
    <col min="7" max="7" width="16.5546875" bestFit="1" customWidth="1"/>
  </cols>
  <sheetData>
    <row r="1" spans="2:5" ht="15" thickBot="1" x14ac:dyDescent="0.35"/>
    <row r="2" spans="2:5" ht="15" thickBot="1" x14ac:dyDescent="0.35">
      <c r="C2" s="55">
        <f>Summary!D22</f>
        <v>0</v>
      </c>
      <c r="D2" s="56"/>
    </row>
    <row r="3" spans="2:5" ht="15" thickBot="1" x14ac:dyDescent="0.35">
      <c r="B3" s="57" t="str">
        <f>Summary!B23</f>
        <v>05_Careers</v>
      </c>
      <c r="C3" s="60" t="s">
        <v>12</v>
      </c>
      <c r="D3" s="18" t="s">
        <v>3</v>
      </c>
      <c r="E3" s="17"/>
    </row>
    <row r="4" spans="2:5" ht="15" thickBot="1" x14ac:dyDescent="0.35">
      <c r="B4" s="58"/>
      <c r="C4" s="61"/>
      <c r="D4" s="19" t="s">
        <v>4</v>
      </c>
      <c r="E4" s="17"/>
    </row>
    <row r="5" spans="2:5" ht="15" thickBot="1" x14ac:dyDescent="0.35">
      <c r="B5" s="58"/>
      <c r="C5" s="61" t="s">
        <v>14</v>
      </c>
      <c r="D5" s="19" t="s">
        <v>3</v>
      </c>
      <c r="E5" s="17"/>
    </row>
    <row r="6" spans="2:5" ht="15" thickBot="1" x14ac:dyDescent="0.35">
      <c r="B6" s="59"/>
      <c r="C6" s="62"/>
      <c r="D6" s="20" t="s">
        <v>4</v>
      </c>
      <c r="E6" s="17"/>
    </row>
    <row r="7" spans="2:5" x14ac:dyDescent="0.3">
      <c r="B7" s="14"/>
      <c r="C7" s="14"/>
      <c r="E7" s="15"/>
    </row>
    <row r="8" spans="2:5" ht="15" thickBot="1" x14ac:dyDescent="0.35">
      <c r="B8" t="s">
        <v>30</v>
      </c>
    </row>
    <row r="9" spans="2:5" ht="15" thickBot="1" x14ac:dyDescent="0.35">
      <c r="B9" t="s">
        <v>31</v>
      </c>
      <c r="C9" s="63">
        <f>E3</f>
        <v>0</v>
      </c>
      <c r="D9" s="64"/>
      <c r="E9" s="65"/>
    </row>
    <row r="10" spans="2:5" ht="15" thickBot="1" x14ac:dyDescent="0.35">
      <c r="B10" t="s">
        <v>32</v>
      </c>
      <c r="C10" s="66"/>
      <c r="D10" s="67"/>
    </row>
    <row r="11" spans="2:5" ht="15" thickBot="1" x14ac:dyDescent="0.35">
      <c r="B11" t="s">
        <v>33</v>
      </c>
      <c r="C11" s="68"/>
      <c r="D11" s="69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17" spans="2:5" x14ac:dyDescent="0.3">
      <c r="C17" s="16"/>
      <c r="D17" s="16"/>
    </row>
    <row r="18" spans="2:5" x14ac:dyDescent="0.3">
      <c r="C18" s="16"/>
      <c r="D18" s="16"/>
    </row>
    <row r="19" spans="2:5" x14ac:dyDescent="0.3">
      <c r="C19" s="16"/>
      <c r="D19" s="16"/>
    </row>
    <row r="24" spans="2:5" ht="15" thickBot="1" x14ac:dyDescent="0.35">
      <c r="B24" t="s">
        <v>34</v>
      </c>
    </row>
    <row r="25" spans="2:5" ht="15" thickBot="1" x14ac:dyDescent="0.35">
      <c r="B25" t="s">
        <v>31</v>
      </c>
      <c r="C25" s="63">
        <f>E5</f>
        <v>0</v>
      </c>
      <c r="D25" s="64"/>
      <c r="E25" s="65"/>
    </row>
    <row r="26" spans="2:5" ht="15" thickBot="1" x14ac:dyDescent="0.35">
      <c r="B26" t="s">
        <v>32</v>
      </c>
      <c r="C26" s="70"/>
      <c r="D26" s="71"/>
      <c r="E26" s="72"/>
    </row>
    <row r="27" spans="2:5" ht="15" thickBot="1" x14ac:dyDescent="0.35">
      <c r="B27" t="s">
        <v>33</v>
      </c>
      <c r="C27" s="68"/>
      <c r="D27" s="73"/>
      <c r="E27" s="69"/>
    </row>
    <row r="29" spans="2:5" x14ac:dyDescent="0.3">
      <c r="C29" s="21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922B-F394-4ACF-802A-EAB14293D18C}">
  <sheetPr codeName="Sheet7"/>
  <dimension ref="B1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5546875" customWidth="1"/>
    <col min="6" max="6" width="2.6640625" customWidth="1"/>
    <col min="7" max="8" width="16.5546875" bestFit="1" customWidth="1"/>
  </cols>
  <sheetData>
    <row r="1" spans="2:5" ht="15" thickBot="1" x14ac:dyDescent="0.35"/>
    <row r="2" spans="2:5" ht="15" thickBot="1" x14ac:dyDescent="0.35">
      <c r="C2" s="55">
        <f>Summary!D26</f>
        <v>0</v>
      </c>
      <c r="D2" s="56"/>
    </row>
    <row r="3" spans="2:5" ht="15" thickBot="1" x14ac:dyDescent="0.35">
      <c r="B3" s="57" t="str">
        <f>Summary!B27</f>
        <v>06_Contact</v>
      </c>
      <c r="C3" s="60" t="s">
        <v>12</v>
      </c>
      <c r="D3" s="18" t="s">
        <v>3</v>
      </c>
      <c r="E3" s="17"/>
    </row>
    <row r="4" spans="2:5" ht="15" thickBot="1" x14ac:dyDescent="0.35">
      <c r="B4" s="58"/>
      <c r="C4" s="61"/>
      <c r="D4" s="19" t="s">
        <v>4</v>
      </c>
      <c r="E4" s="17"/>
    </row>
    <row r="5" spans="2:5" ht="15" thickBot="1" x14ac:dyDescent="0.35">
      <c r="B5" s="58"/>
      <c r="C5" s="61" t="s">
        <v>14</v>
      </c>
      <c r="D5" s="19" t="s">
        <v>3</v>
      </c>
      <c r="E5" s="17"/>
    </row>
    <row r="6" spans="2:5" ht="15" thickBot="1" x14ac:dyDescent="0.35">
      <c r="B6" s="59"/>
      <c r="C6" s="62"/>
      <c r="D6" s="20" t="s">
        <v>4</v>
      </c>
      <c r="E6" s="17"/>
    </row>
    <row r="7" spans="2:5" x14ac:dyDescent="0.3">
      <c r="B7" s="14"/>
      <c r="C7" s="14"/>
      <c r="E7" s="15"/>
    </row>
    <row r="8" spans="2:5" ht="15" thickBot="1" x14ac:dyDescent="0.35">
      <c r="B8" t="s">
        <v>30</v>
      </c>
    </row>
    <row r="9" spans="2:5" ht="15" thickBot="1" x14ac:dyDescent="0.35">
      <c r="B9" t="s">
        <v>31</v>
      </c>
      <c r="C9" s="63">
        <f>E3</f>
        <v>0</v>
      </c>
      <c r="D9" s="64"/>
      <c r="E9" s="65"/>
    </row>
    <row r="10" spans="2:5" ht="15" thickBot="1" x14ac:dyDescent="0.35">
      <c r="B10" t="s">
        <v>32</v>
      </c>
      <c r="C10" s="66"/>
      <c r="D10" s="67"/>
    </row>
    <row r="11" spans="2:5" ht="15" thickBot="1" x14ac:dyDescent="0.35">
      <c r="B11" t="s">
        <v>33</v>
      </c>
      <c r="C11" s="68"/>
      <c r="D11" s="69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17" spans="2:5" x14ac:dyDescent="0.3">
      <c r="C17" s="16"/>
      <c r="D17" s="16"/>
    </row>
    <row r="18" spans="2:5" x14ac:dyDescent="0.3">
      <c r="C18" s="16"/>
      <c r="D18" s="16"/>
    </row>
    <row r="19" spans="2:5" x14ac:dyDescent="0.3">
      <c r="C19" s="16"/>
      <c r="D19" s="16"/>
    </row>
    <row r="24" spans="2:5" ht="15" thickBot="1" x14ac:dyDescent="0.35">
      <c r="B24" t="s">
        <v>34</v>
      </c>
    </row>
    <row r="25" spans="2:5" ht="15" thickBot="1" x14ac:dyDescent="0.35">
      <c r="B25" t="s">
        <v>31</v>
      </c>
      <c r="C25" s="63">
        <f>E5</f>
        <v>0</v>
      </c>
      <c r="D25" s="64"/>
      <c r="E25" s="65"/>
    </row>
    <row r="26" spans="2:5" ht="15" thickBot="1" x14ac:dyDescent="0.35">
      <c r="B26" t="s">
        <v>32</v>
      </c>
      <c r="C26" s="70"/>
      <c r="D26" s="71"/>
      <c r="E26" s="72"/>
    </row>
    <row r="27" spans="2:5" ht="15" thickBot="1" x14ac:dyDescent="0.35">
      <c r="B27" t="s">
        <v>33</v>
      </c>
      <c r="C27" s="68"/>
      <c r="D27" s="73"/>
      <c r="E27" s="69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D5E4-BFAB-41B7-A265-68420CAFEDDE}">
  <sheetPr codeName="Sheet8"/>
  <dimension ref="B2:E27"/>
  <sheetViews>
    <sheetView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5546875" customWidth="1"/>
    <col min="6" max="6" width="2.6640625" customWidth="1"/>
    <col min="7" max="8" width="16.5546875" bestFit="1" customWidth="1"/>
  </cols>
  <sheetData>
    <row r="2" spans="2:5" x14ac:dyDescent="0.3">
      <c r="C2" s="55">
        <f>Summary!D30</f>
        <v>0</v>
      </c>
      <c r="D2" s="56"/>
    </row>
    <row r="3" spans="2:5" x14ac:dyDescent="0.3">
      <c r="B3" s="57" t="str">
        <f>Summary!B31</f>
        <v>07_Privacy</v>
      </c>
      <c r="C3" s="60" t="s">
        <v>12</v>
      </c>
      <c r="D3" s="18" t="s">
        <v>3</v>
      </c>
      <c r="E3" s="37"/>
    </row>
    <row r="4" spans="2:5" x14ac:dyDescent="0.3">
      <c r="B4" s="58"/>
      <c r="C4" s="61"/>
      <c r="D4" s="19" t="s">
        <v>4</v>
      </c>
      <c r="E4" s="39"/>
    </row>
    <row r="5" spans="2:5" x14ac:dyDescent="0.3">
      <c r="B5" s="58"/>
      <c r="C5" s="61" t="s">
        <v>14</v>
      </c>
      <c r="D5" s="19" t="s">
        <v>3</v>
      </c>
      <c r="E5" s="40"/>
    </row>
    <row r="6" spans="2:5" x14ac:dyDescent="0.3">
      <c r="B6" s="59"/>
      <c r="C6" s="62"/>
      <c r="D6" s="20" t="s">
        <v>4</v>
      </c>
      <c r="E6" s="38"/>
    </row>
    <row r="7" spans="2:5" x14ac:dyDescent="0.3">
      <c r="B7" s="14"/>
      <c r="C7" s="14"/>
      <c r="E7" s="15"/>
    </row>
    <row r="8" spans="2:5" ht="15" thickBot="1" x14ac:dyDescent="0.35">
      <c r="B8" t="s">
        <v>30</v>
      </c>
    </row>
    <row r="9" spans="2:5" ht="15" thickBot="1" x14ac:dyDescent="0.35">
      <c r="B9" t="s">
        <v>31</v>
      </c>
      <c r="C9" s="63">
        <f>E3</f>
        <v>0</v>
      </c>
      <c r="D9" s="64"/>
      <c r="E9" s="65"/>
    </row>
    <row r="10" spans="2:5" ht="15" thickBot="1" x14ac:dyDescent="0.35">
      <c r="B10" t="s">
        <v>32</v>
      </c>
      <c r="C10" s="66"/>
      <c r="D10" s="67"/>
    </row>
    <row r="11" spans="2:5" ht="15" thickBot="1" x14ac:dyDescent="0.35">
      <c r="B11" t="s">
        <v>33</v>
      </c>
      <c r="C11" s="68"/>
      <c r="D11" s="69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24" spans="2:5" ht="15" thickBot="1" x14ac:dyDescent="0.35">
      <c r="B24" t="s">
        <v>34</v>
      </c>
    </row>
    <row r="25" spans="2:5" ht="15" thickBot="1" x14ac:dyDescent="0.35">
      <c r="B25" t="s">
        <v>31</v>
      </c>
      <c r="C25" s="63">
        <f>E5</f>
        <v>0</v>
      </c>
      <c r="D25" s="64"/>
      <c r="E25" s="65"/>
    </row>
    <row r="26" spans="2:5" ht="15" thickBot="1" x14ac:dyDescent="0.35">
      <c r="B26" t="s">
        <v>32</v>
      </c>
      <c r="C26" s="70"/>
      <c r="D26" s="71"/>
      <c r="E26" s="72"/>
    </row>
    <row r="27" spans="2:5" ht="15" thickBot="1" x14ac:dyDescent="0.35">
      <c r="B27" t="s">
        <v>33</v>
      </c>
      <c r="C27" s="68"/>
      <c r="D27" s="73"/>
      <c r="E27" s="69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025-BA5E-4614-A80F-6870F52C8D7D}">
  <sheetPr codeName="Sheet9"/>
  <dimension ref="B2:E27"/>
  <sheetViews>
    <sheetView tabSelected="1" zoomScale="85" zoomScaleNormal="85" workbookViewId="0"/>
  </sheetViews>
  <sheetFormatPr defaultRowHeight="14.4" x14ac:dyDescent="0.3"/>
  <cols>
    <col min="1" max="1" width="2.6640625" customWidth="1"/>
    <col min="2" max="2" width="19.5546875" bestFit="1" customWidth="1"/>
    <col min="4" max="4" width="26" bestFit="1" customWidth="1"/>
    <col min="5" max="5" width="95.109375" customWidth="1"/>
    <col min="6" max="6" width="2.6640625" customWidth="1"/>
    <col min="7" max="8" width="16.5546875" bestFit="1" customWidth="1"/>
  </cols>
  <sheetData>
    <row r="2" spans="2:5" x14ac:dyDescent="0.3">
      <c r="C2" s="55">
        <f>Summary!D34</f>
        <v>0</v>
      </c>
      <c r="D2" s="56"/>
    </row>
    <row r="3" spans="2:5" x14ac:dyDescent="0.3">
      <c r="B3" s="57" t="str">
        <f>Summary!B35</f>
        <v>08_Game Testing</v>
      </c>
      <c r="C3" s="60" t="s">
        <v>12</v>
      </c>
      <c r="D3" s="18" t="s">
        <v>3</v>
      </c>
      <c r="E3" s="17"/>
    </row>
    <row r="4" spans="2:5" x14ac:dyDescent="0.3">
      <c r="B4" s="58"/>
      <c r="C4" s="61"/>
      <c r="D4" s="19" t="s">
        <v>4</v>
      </c>
      <c r="E4" s="17"/>
    </row>
    <row r="5" spans="2:5" x14ac:dyDescent="0.3">
      <c r="B5" s="58"/>
      <c r="C5" s="61" t="s">
        <v>14</v>
      </c>
      <c r="D5" s="19" t="s">
        <v>3</v>
      </c>
      <c r="E5" s="17"/>
    </row>
    <row r="6" spans="2:5" x14ac:dyDescent="0.3">
      <c r="B6" s="59"/>
      <c r="C6" s="62"/>
      <c r="D6" s="20" t="s">
        <v>4</v>
      </c>
      <c r="E6" s="17"/>
    </row>
    <row r="7" spans="2:5" x14ac:dyDescent="0.3">
      <c r="B7" s="14"/>
      <c r="C7" s="14"/>
      <c r="E7" s="15"/>
    </row>
    <row r="8" spans="2:5" x14ac:dyDescent="0.3">
      <c r="B8" t="s">
        <v>30</v>
      </c>
    </row>
    <row r="9" spans="2:5" x14ac:dyDescent="0.3">
      <c r="B9" t="s">
        <v>31</v>
      </c>
      <c r="C9" s="63">
        <f>E3</f>
        <v>0</v>
      </c>
      <c r="D9" s="64"/>
      <c r="E9" s="65"/>
    </row>
    <row r="10" spans="2:5" ht="15" thickBot="1" x14ac:dyDescent="0.35">
      <c r="B10" t="s">
        <v>32</v>
      </c>
      <c r="C10" s="66"/>
      <c r="D10" s="67"/>
    </row>
    <row r="11" spans="2:5" ht="15" thickBot="1" x14ac:dyDescent="0.35">
      <c r="B11" t="s">
        <v>33</v>
      </c>
      <c r="C11" s="68"/>
      <c r="D11" s="69"/>
    </row>
    <row r="12" spans="2:5" x14ac:dyDescent="0.3">
      <c r="C12" s="16"/>
      <c r="D12" s="16"/>
    </row>
    <row r="13" spans="2:5" x14ac:dyDescent="0.3">
      <c r="C13" s="16"/>
      <c r="D13" s="16"/>
    </row>
    <row r="14" spans="2:5" x14ac:dyDescent="0.3">
      <c r="C14" s="16"/>
      <c r="D14" s="16"/>
    </row>
    <row r="15" spans="2:5" x14ac:dyDescent="0.3">
      <c r="C15" s="16"/>
      <c r="D15" s="16"/>
    </row>
    <row r="16" spans="2:5" x14ac:dyDescent="0.3">
      <c r="C16" s="16"/>
      <c r="D16" s="16"/>
    </row>
    <row r="17" spans="2:5" x14ac:dyDescent="0.3">
      <c r="C17" s="16"/>
      <c r="D17" s="16"/>
    </row>
    <row r="18" spans="2:5" x14ac:dyDescent="0.3">
      <c r="C18" s="16"/>
      <c r="D18" s="16"/>
    </row>
    <row r="19" spans="2:5" x14ac:dyDescent="0.3">
      <c r="C19" s="16"/>
      <c r="D19" s="16"/>
    </row>
    <row r="24" spans="2:5" x14ac:dyDescent="0.3">
      <c r="B24" t="s">
        <v>34</v>
      </c>
    </row>
    <row r="25" spans="2:5" x14ac:dyDescent="0.3">
      <c r="B25" t="s">
        <v>31</v>
      </c>
      <c r="C25" s="63">
        <f>E5</f>
        <v>0</v>
      </c>
      <c r="D25" s="64"/>
      <c r="E25" s="65"/>
    </row>
    <row r="26" spans="2:5" ht="15" thickBot="1" x14ac:dyDescent="0.35">
      <c r="B26" t="s">
        <v>32</v>
      </c>
      <c r="C26" s="70"/>
      <c r="D26" s="71"/>
      <c r="E26" s="72"/>
    </row>
    <row r="27" spans="2:5" ht="15" thickBot="1" x14ac:dyDescent="0.35">
      <c r="B27" t="s">
        <v>33</v>
      </c>
      <c r="C27" s="68"/>
      <c r="D27" s="73"/>
      <c r="E27" s="69"/>
    </row>
  </sheetData>
  <mergeCells count="10">
    <mergeCell ref="C27:E27"/>
    <mergeCell ref="C26:E26"/>
    <mergeCell ref="C2:D2"/>
    <mergeCell ref="B3:B6"/>
    <mergeCell ref="C3:C4"/>
    <mergeCell ref="C5:C6"/>
    <mergeCell ref="C9:E9"/>
    <mergeCell ref="C25:E25"/>
    <mergeCell ref="C10:D10"/>
    <mergeCell ref="C11:D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4090-FBAE-47C4-8581-16407B81F6C3}">
  <sheetPr codeName="Sheet10"/>
  <dimension ref="I3:O46"/>
  <sheetViews>
    <sheetView topLeftCell="G1" workbookViewId="0">
      <selection activeCell="J7" sqref="J7"/>
    </sheetView>
  </sheetViews>
  <sheetFormatPr defaultRowHeight="14.4" x14ac:dyDescent="0.3"/>
  <cols>
    <col min="9" max="9" width="33.33203125" customWidth="1"/>
    <col min="10" max="10" width="24.88671875" style="25" customWidth="1"/>
    <col min="11" max="11" width="31.33203125" style="25" customWidth="1"/>
    <col min="12" max="12" width="29.33203125" style="25" customWidth="1"/>
    <col min="13" max="13" width="20.21875" style="25" bestFit="1" customWidth="1"/>
    <col min="14" max="14" width="16.109375" style="25" customWidth="1"/>
    <col min="15" max="15" width="15.5546875" style="25" customWidth="1"/>
  </cols>
  <sheetData>
    <row r="3" spans="9:15" x14ac:dyDescent="0.3">
      <c r="J3" s="35"/>
    </row>
    <row r="5" spans="9:15" x14ac:dyDescent="0.3">
      <c r="J5" s="28" t="s">
        <v>5</v>
      </c>
      <c r="K5" s="30" t="s">
        <v>6</v>
      </c>
      <c r="L5" s="24" t="s">
        <v>7</v>
      </c>
      <c r="M5" t="s">
        <v>8</v>
      </c>
      <c r="N5" t="s">
        <v>9</v>
      </c>
      <c r="O5" t="s">
        <v>10</v>
      </c>
    </row>
    <row r="6" spans="9:15" x14ac:dyDescent="0.3">
      <c r="I6" s="24" t="s">
        <v>11</v>
      </c>
      <c r="J6" s="29" t="str" cm="1">
        <f t="array" aca="1" ref="J6" ca="1">INDIRECT(M6)</f>
        <v>Desktop</v>
      </c>
      <c r="K6" s="31" t="str" cm="1">
        <f t="array" aca="1" ref="K6" ca="1">INDIRECT(M7)</f>
        <v>Desktop</v>
      </c>
      <c r="L6" s="33">
        <f>MAX(Summary!D7:E8)</f>
        <v>0</v>
      </c>
      <c r="M6" s="25" t="str">
        <f>IF(LEFT(MID(N6,FIND("!",N6)+1,LEN(N6)),1)="D",
    LEFT(N6,FIND("!",N6)) &amp; CHAR(CODE(LEFT(MID(N6,FIND("!",N6)+1,LEN(N6)),1))-1) &amp; MID(MID(N6,FIND("!",N6)+1,LEN(N6)),2,LEN(MID(N6,FIND("!",N6)+1,LEN(N6)))),
    LEFT(N6,FIND("!",N6)) &amp; CHAR(CODE(LEFT(MID(N6,FIND("!",N6)+1,LEN(N6)),1))-2) &amp; MID(MID(N6,FIND("!",N6)+1,LEN(N6)),2,LEN(MID(N6,FIND("!",N6)+1,LEN(N6))))
)</f>
        <v>Summary!C7</v>
      </c>
      <c r="N6" s="27" t="str" cm="1">
        <f t="array" ref="N6">"Summary!" &amp; ADDRESS(MIN(IF(Summary!D7:E8=L6,ROW(Summary!D7:E8))), MIN(IF(Summary!D7:E8=L6,COLUMN(Summary!D7:E8))), 4)</f>
        <v>Summary!D7</v>
      </c>
      <c r="O6" s="27" t="str" cm="1">
        <f t="array" ref="O6">"Summary!" &amp; ADDRESS(MIN(IF(Summary!D7:E8=L7,ROW(Summary!D7:E8))), MIN(IF(Summary!D7:E8=L7,COLUMN(Summary!D7:E8))), 4)</f>
        <v>Summary!D7</v>
      </c>
    </row>
    <row r="7" spans="9:15" x14ac:dyDescent="0.3">
      <c r="I7" s="24" t="s">
        <v>13</v>
      </c>
      <c r="J7" s="29" t="str">
        <f ca="1"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K7" s="31" t="str">
        <f ca="1">IF(K6="Desktop",IF(Summary!D7=Summary!E7,"with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L7" s="32">
        <f>MIN(Summary!D7:E8)</f>
        <v>0</v>
      </c>
      <c r="M7" s="25" t="str">
        <f>IF(LEFT(MID(O6,FIND("!",O6)+1,LEN(O6)),1)="D",
    LEFT(O6,FIND("!",O6)) &amp; CHAR(CODE(LEFT(MID(O6,FIND("!",O6)+1,LEN(O6)),1))-1) &amp; MID(MID(O6,FIND("!",O6)+1,LEN(O6)),2,LEN(MID(O6,FIND("!",O6)+1,LEN(O6)))),
    LEFT(O6,FIND("!",O6)) &amp; CHAR(CODE(LEFT(MID(O6,FIND("!",O6)+1,LEN(O6)),1))-2) &amp; MID(MID(O6,FIND("!",O6)+1,LEN(O6)),2,LEN(MID(O6,FIND("!",O6)+1,LEN(O6))))
)</f>
        <v>Summary!C7</v>
      </c>
      <c r="N7" s="27"/>
      <c r="O7" s="27"/>
    </row>
    <row r="8" spans="9:15" x14ac:dyDescent="0.3">
      <c r="M8" s="27"/>
      <c r="N8" s="27"/>
      <c r="O8" s="27"/>
    </row>
    <row r="9" spans="9:15" x14ac:dyDescent="0.3">
      <c r="L9" s="24" t="s">
        <v>7</v>
      </c>
      <c r="M9"/>
      <c r="N9"/>
      <c r="O9"/>
    </row>
    <row r="10" spans="9:15" x14ac:dyDescent="0.3">
      <c r="I10" s="24" t="s">
        <v>11</v>
      </c>
      <c r="J10" s="29" t="str" cm="1">
        <f t="array" aca="1" ref="J10" ca="1">INDIRECT(M10)</f>
        <v>Desktop</v>
      </c>
      <c r="K10" s="31" t="str" cm="1">
        <f t="array" aca="1" ref="K10" ca="1">INDIRECT(M11)</f>
        <v>Desktop</v>
      </c>
      <c r="L10" s="33">
        <f>MAX(Summary!D11:E12)</f>
        <v>0</v>
      </c>
      <c r="M10" s="25" t="str">
        <f>IF(LEFT(MID(N10,FIND("!",N10)+1,LEN(N10)),1)="D",
    LEFT(N10,FIND("!",N10)) &amp; CHAR(CODE(LEFT(MID(N10,FIND("!",N10)+1,LEN(N10)),1))-1) &amp; MID(MID(N10,FIND("!",N10)+1,LEN(N10)),2,LEN(MID(N10,FIND("!",N10)+1,LEN(N10)))),
    LEFT(N10,FIND("!",N10)) &amp; CHAR(CODE(LEFT(MID(N10,FIND("!",N10)+1,LEN(N10)),1))-2) &amp; MID(MID(N10,FIND("!",N10)+1,LEN(N10)),2,LEN(MID(N10,FIND("!",N10)+1,LEN(N10))))
)</f>
        <v>Summary!C11</v>
      </c>
      <c r="N10" s="27" t="str" cm="1">
        <f t="array" ref="N10">"Summary!" &amp; ADDRESS(MIN(IF(Summary!D11:E12=L10,ROW(Summary!D11:E12))), MIN(IF(Summary!D11:E12=L10,COLUMN(Summary!D11:E12))), 4)</f>
        <v>Summary!D11</v>
      </c>
      <c r="O10" s="27" t="str" cm="1">
        <f t="array" ref="O10">"Summary!" &amp; ADDRESS(MIN(IF(Summary!D11:E12=L11,ROW(Summary!D11:E12))), MIN(IF(Summary!D11:E12=L11,COLUMN(Summary!D11:E12))), 4)</f>
        <v>Summary!D11</v>
      </c>
    </row>
    <row r="11" spans="9:15" x14ac:dyDescent="0.3">
      <c r="I11" s="24" t="s">
        <v>13</v>
      </c>
      <c r="J11" s="29" t="str">
        <f ca="1"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K11" s="31" t="str">
        <f ca="1">IF(K10="Desktop",IF(Summary!D11=Summary!E11,"with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L11" s="32">
        <f>MIN(Summary!D11:E12)</f>
        <v>0</v>
      </c>
      <c r="M11" s="25" t="str">
        <f>IF(LEFT(MID(O10,FIND("!",O10)+1,LEN(O10)),1)="D",
    LEFT(O10,FIND("!",O10)) &amp; CHAR(CODE(LEFT(MID(O10,FIND("!",O10)+1,LEN(O10)),1))-1) &amp; MID(MID(O10,FIND("!",O10)+1,LEN(O10)),2,LEN(MID(O10,FIND("!",O10)+1,LEN(O10)))),
    LEFT(O10,FIND("!",O10)) &amp; CHAR(CODE(LEFT(MID(O10,FIND("!",O10)+1,LEN(O10)),1))-2) &amp; MID(MID(O10,FIND("!",O10)+1,LEN(O10)),2,LEN(MID(O10,FIND("!",O10)+1,LEN(O10))))
)</f>
        <v>Summary!C11</v>
      </c>
      <c r="N11" s="27"/>
      <c r="O11" s="27"/>
    </row>
    <row r="12" spans="9:15" x14ac:dyDescent="0.3">
      <c r="L12" s="27"/>
      <c r="M12" s="27"/>
      <c r="N12" s="27"/>
      <c r="O12" s="27"/>
    </row>
    <row r="13" spans="9:15" x14ac:dyDescent="0.3">
      <c r="L13" s="24" t="s">
        <v>7</v>
      </c>
      <c r="M13"/>
      <c r="N13"/>
      <c r="O13"/>
    </row>
    <row r="14" spans="9:15" x14ac:dyDescent="0.3">
      <c r="I14" s="24" t="s">
        <v>11</v>
      </c>
      <c r="J14" s="29" t="str" cm="1">
        <f t="array" aca="1" ref="J14" ca="1">INDIRECT(M14)</f>
        <v>Desktop</v>
      </c>
      <c r="K14" s="31" t="str" cm="1">
        <f t="array" aca="1" ref="K14" ca="1">INDIRECT(M15)</f>
        <v>Desktop</v>
      </c>
      <c r="L14" s="33">
        <f>MAX(Summary!D15:E16)</f>
        <v>0</v>
      </c>
      <c r="M14" s="25" t="str">
        <f>IF(LEFT(MID(N14,FIND("!",N14)+1,LEN(N14)),1)="D",
    LEFT(N14,FIND("!",N14)) &amp; CHAR(CODE(LEFT(MID(N14,FIND("!",N14)+1,LEN(N14)),1))-1) &amp; MID(MID(N14,FIND("!",N14)+1,LEN(N14)),2,LEN(MID(N14,FIND("!",N14)+1,LEN(N14)))),
    LEFT(N14,FIND("!",N14)) &amp; CHAR(CODE(LEFT(MID(N14,FIND("!",N14)+1,LEN(N14)),1))-2) &amp; MID(MID(N14,FIND("!",N14)+1,LEN(N14)),2,LEN(MID(N14,FIND("!",N14)+1,LEN(N14))))
)</f>
        <v>Summary!C15</v>
      </c>
      <c r="N14" s="27" t="str" cm="1">
        <f t="array" ref="N14">"Summary!" &amp; ADDRESS(MIN(IF(Summary!D15:E16=L14,ROW(Summary!D15:E16))), MIN(IF(Summary!D15:E16=L14,COLUMN(Summary!D15:E16))), 4)</f>
        <v>Summary!D15</v>
      </c>
      <c r="O14" s="27" t="str" cm="1">
        <f t="array" ref="O14">"Summary!" &amp; ADDRESS(MIN(IF(Summary!D15:E16=L15,ROW(Summary!D15:E16))), MIN(IF(Summary!D15:E16=L15,COLUMN(Summary!D15:E16))), 4)</f>
        <v>Summary!D15</v>
      </c>
    </row>
    <row r="15" spans="9:15" x14ac:dyDescent="0.3">
      <c r="I15" s="24" t="s">
        <v>13</v>
      </c>
      <c r="J15" s="29" t="str">
        <f ca="1"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K15" s="31" t="str">
        <f ca="1">IF(K14="Desktop",IF(Summary!D15=Summary!E15,"with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L15" s="32">
        <f>MIN(Summary!D15:E16)</f>
        <v>0</v>
      </c>
      <c r="M15" s="25" t="str">
        <f>IF(LEFT(MID(O14,FIND("!",O14)+1,LEN(O14)),1)="D",
    LEFT(O14,FIND("!",O14)) &amp; CHAR(CODE(LEFT(MID(O14,FIND("!",O14)+1,LEN(O14)),1))-1) &amp; MID(MID(O14,FIND("!",O14)+1,LEN(O14)),2,LEN(MID(O14,FIND("!",O14)+1,LEN(O14)))),
    LEFT(O14,FIND("!",O14)) &amp; CHAR(CODE(LEFT(MID(O14,FIND("!",O14)+1,LEN(O14)),1))-2) &amp; MID(MID(O14,FIND("!",O14)+1,LEN(O14)),2,LEN(MID(O14,FIND("!",O14)+1,LEN(O14))))
)</f>
        <v>Summary!C15</v>
      </c>
      <c r="N15" s="27"/>
      <c r="O15" s="27"/>
    </row>
    <row r="16" spans="9:15" x14ac:dyDescent="0.3">
      <c r="L16" s="27"/>
      <c r="M16" s="27"/>
      <c r="N16" s="27"/>
      <c r="O16" s="27"/>
    </row>
    <row r="17" spans="9:15" x14ac:dyDescent="0.3">
      <c r="L17" s="24" t="s">
        <v>7</v>
      </c>
      <c r="M17"/>
      <c r="N17"/>
      <c r="O17"/>
    </row>
    <row r="18" spans="9:15" x14ac:dyDescent="0.3">
      <c r="I18" s="24" t="s">
        <v>11</v>
      </c>
      <c r="J18" s="29" t="str" cm="1">
        <f t="array" aca="1" ref="J18" ca="1">INDIRECT(M18)</f>
        <v>Desktop</v>
      </c>
      <c r="K18" s="31" t="str" cm="1">
        <f t="array" aca="1" ref="K18" ca="1">INDIRECT(M19)</f>
        <v>Desktop</v>
      </c>
      <c r="L18" s="33">
        <f>MAX(Summary!D19:E20)</f>
        <v>0</v>
      </c>
      <c r="M18" s="25" t="str">
        <f>IF(LEFT(MID(N18,FIND("!",N18)+1,LEN(N18)),1)="D",
    LEFT(N18,FIND("!",N18)) &amp; CHAR(CODE(LEFT(MID(N18,FIND("!",N18)+1,LEN(N18)),1))-1) &amp; MID(MID(N18,FIND("!",N18)+1,LEN(N18)),2,LEN(MID(N18,FIND("!",N18)+1,LEN(N18)))),
    LEFT(N18,FIND("!",N18)) &amp; CHAR(CODE(LEFT(MID(N18,FIND("!",N18)+1,LEN(N18)),1))-2) &amp; MID(MID(N18,FIND("!",N18)+1,LEN(N18)),2,LEN(MID(N18,FIND("!",N18)+1,LEN(N18))))
)</f>
        <v>Summary!C19</v>
      </c>
      <c r="N18" s="27" t="str" cm="1">
        <f t="array" ref="N18">"Summary!" &amp; ADDRESS(MIN(IF(Summary!D19:E20=L18,ROW(Summary!D19:E20))), MIN(IF(Summary!D19:E20=L18,COLUMN(Summary!D19:E20))), 4)</f>
        <v>Summary!D19</v>
      </c>
      <c r="O18" s="27" t="str" cm="1">
        <f t="array" ref="O18">"Summary!" &amp; ADDRESS(MIN(IF(Summary!D19:E20=L19,ROW(Summary!D19:E20))), MIN(IF(Summary!D19:E20=L19,COLUMN(Summary!D19:E20))), 4)</f>
        <v>Summary!D19</v>
      </c>
    </row>
    <row r="19" spans="9:15" x14ac:dyDescent="0.3">
      <c r="I19" s="24" t="s">
        <v>13</v>
      </c>
      <c r="J19" s="29" t="str">
        <f ca="1"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K19" s="31" t="str">
        <f ca="1">IF(K18="Desktop",IF(Summary!D19=Summary!E19,"with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L19" s="32">
        <f>MIN(Summary!D19:E20)</f>
        <v>0</v>
      </c>
      <c r="M19" s="25" t="str">
        <f>IF(LEFT(MID(O18,FIND("!",O18)+1,LEN(O18)),1)="D",
    LEFT(O18,FIND("!",O18)) &amp; CHAR(CODE(LEFT(MID(O18,FIND("!",O18)+1,LEN(O18)),1))-1) &amp; MID(MID(O18,FIND("!",O18)+1,LEN(O18)),2,LEN(MID(O18,FIND("!",O18)+1,LEN(O18)))),
    LEFT(O18,FIND("!",O18)) &amp; CHAR(CODE(LEFT(MID(O18,FIND("!",O18)+1,LEN(O18)),1))-2) &amp; MID(MID(O18,FIND("!",O18)+1,LEN(O18)),2,LEN(MID(O18,FIND("!",O18)+1,LEN(O18))))
)</f>
        <v>Summary!C19</v>
      </c>
      <c r="N19" s="27"/>
      <c r="O19" s="27"/>
    </row>
    <row r="20" spans="9:15" x14ac:dyDescent="0.3">
      <c r="L20" s="27"/>
      <c r="M20" s="27"/>
      <c r="N20" s="27"/>
      <c r="O20" s="27"/>
    </row>
    <row r="21" spans="9:15" x14ac:dyDescent="0.3">
      <c r="L21" s="24" t="s">
        <v>7</v>
      </c>
      <c r="M21"/>
      <c r="N21"/>
      <c r="O21"/>
    </row>
    <row r="22" spans="9:15" x14ac:dyDescent="0.3">
      <c r="I22" s="24" t="s">
        <v>11</v>
      </c>
      <c r="J22" s="29" t="str" cm="1">
        <f t="array" aca="1" ref="J22" ca="1">INDIRECT(M22)</f>
        <v>Desktop</v>
      </c>
      <c r="K22" s="31" t="str" cm="1">
        <f t="array" aca="1" ref="K22" ca="1">INDIRECT(M23)</f>
        <v>Desktop</v>
      </c>
      <c r="L22" s="33">
        <f>MAX(Summary!D23:E24)</f>
        <v>0</v>
      </c>
      <c r="M22" s="25" t="str">
        <f>IF(LEFT(MID(N22,FIND("!",N22)+1,LEN(N22)),1)="D",
    LEFT(N22,FIND("!",N22)) &amp; CHAR(CODE(LEFT(MID(N22,FIND("!",N22)+1,LEN(N22)),1))-1) &amp; MID(MID(N22,FIND("!",N22)+1,LEN(N22)),2,LEN(MID(N22,FIND("!",N22)+1,LEN(N22)))),
    LEFT(N22,FIND("!",N22)) &amp; CHAR(CODE(LEFT(MID(N22,FIND("!",N22)+1,LEN(N22)),1))-2) &amp; MID(MID(N22,FIND("!",N22)+1,LEN(N22)),2,LEN(MID(N22,FIND("!",N22)+1,LEN(N22))))
)</f>
        <v>Summary!C23</v>
      </c>
      <c r="N22" s="27" t="str" cm="1">
        <f t="array" ref="N22">"Summary!" &amp; ADDRESS(MIN(IF(Summary!D23:E24=L22,ROW(Summary!D23:E24))), MIN(IF(Summary!D23:E24=L22,COLUMN(Summary!D23:E24))), 4)</f>
        <v>Summary!D23</v>
      </c>
      <c r="O22" s="27" t="str" cm="1">
        <f t="array" ref="O22">"Summary!" &amp; ADDRESS(MIN(IF(Summary!D23:E24=L23,ROW(Summary!D23:E24))), MIN(IF(Summary!D23:E24=L23,COLUMN(Summary!D23:E24))), 4)</f>
        <v>Summary!D23</v>
      </c>
    </row>
    <row r="23" spans="9:15" x14ac:dyDescent="0.3">
      <c r="I23" s="24" t="s">
        <v>13</v>
      </c>
      <c r="J23" s="29" t="str">
        <f ca="1"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K23" s="31" t="str">
        <f ca="1">IF(K22="Desktop",IF(Summary!D23=Summary!E23,"with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L23" s="32">
        <f>MIN(Summary!D23:E24)</f>
        <v>0</v>
      </c>
      <c r="M23" s="25" t="str">
        <f>IF(LEFT(MID(O22,FIND("!",O22)+1,LEN(O22)),1)="D",
    LEFT(O22,FIND("!",O22)) &amp; CHAR(CODE(LEFT(MID(O22,FIND("!",O22)+1,LEN(O22)),1))-1) &amp; MID(MID(O22,FIND("!",O22)+1,LEN(O22)),2,LEN(MID(O22,FIND("!",O22)+1,LEN(O22)))),
    LEFT(O22,FIND("!",O22)) &amp; CHAR(CODE(LEFT(MID(O22,FIND("!",O22)+1,LEN(O22)),1))-2) &amp; MID(MID(O22,FIND("!",O22)+1,LEN(O22)),2,LEN(MID(O22,FIND("!",O22)+1,LEN(O22))))
)</f>
        <v>Summary!C23</v>
      </c>
      <c r="N23" s="27"/>
      <c r="O23" s="27"/>
    </row>
    <row r="24" spans="9:15" x14ac:dyDescent="0.3">
      <c r="L24" s="27"/>
      <c r="M24" s="27"/>
      <c r="N24" s="27"/>
      <c r="O24" s="27"/>
    </row>
    <row r="25" spans="9:15" x14ac:dyDescent="0.3">
      <c r="L25" s="24" t="s">
        <v>7</v>
      </c>
      <c r="M25"/>
      <c r="N25"/>
      <c r="O25"/>
    </row>
    <row r="26" spans="9:15" x14ac:dyDescent="0.3">
      <c r="I26" s="24" t="s">
        <v>11</v>
      </c>
      <c r="J26" s="29" t="str" cm="1">
        <f t="array" aca="1" ref="J26" ca="1">INDIRECT(M26)</f>
        <v>Desktop</v>
      </c>
      <c r="K26" s="31" t="str" cm="1">
        <f t="array" aca="1" ref="K26" ca="1">INDIRECT(M27)</f>
        <v>Desktop</v>
      </c>
      <c r="L26" s="33">
        <f>MAX(Summary!D27:E28)</f>
        <v>0</v>
      </c>
      <c r="M26" s="25" t="str">
        <f>IF(LEFT(MID(N26,FIND("!",N26)+1,LEN(N26)),1)="D",
    LEFT(N26,FIND("!",N26)) &amp; CHAR(CODE(LEFT(MID(N26,FIND("!",N26)+1,LEN(N26)),1))-1) &amp; MID(MID(N26,FIND("!",N26)+1,LEN(N26)),2,LEN(MID(N26,FIND("!",N26)+1,LEN(N26)))),
    LEFT(N26,FIND("!",N26)) &amp; CHAR(CODE(LEFT(MID(N26,FIND("!",N26)+1,LEN(N26)),1))-2) &amp; MID(MID(N26,FIND("!",N26)+1,LEN(N26)),2,LEN(MID(N26,FIND("!",N26)+1,LEN(N26))))
)</f>
        <v>Summary!C27</v>
      </c>
      <c r="N26" s="27" t="str" cm="1">
        <f t="array" ref="N26">"Summary!" &amp; ADDRESS(MIN(IF(Summary!D27:E28=L26,ROW(Summary!D27:E28))), MIN(IF(Summary!D27:E28=L26,COLUMN(Summary!D27:E28))), 4)</f>
        <v>Summary!D27</v>
      </c>
      <c r="O26" s="27" t="str" cm="1">
        <f t="array" ref="O26">"Summary!" &amp; ADDRESS(MIN(IF(Summary!D27:E28=L27,ROW(Summary!D27:E28))), MIN(IF(Summary!D27:E28=L27,COLUMN(Summary!D27:E28))), 4)</f>
        <v>Summary!D27</v>
      </c>
    </row>
    <row r="27" spans="9:15" x14ac:dyDescent="0.3">
      <c r="I27" s="24" t="s">
        <v>13</v>
      </c>
      <c r="J27" s="29" t="str">
        <f ca="1"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K27" s="31" t="str">
        <f ca="1">IF(K26="Desktop",IF(Summary!D27=Summary!E27,"with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L27" s="32">
        <f>MIN(Summary!D27:E28)</f>
        <v>0</v>
      </c>
      <c r="M27" s="25" t="str">
        <f>IF(LEFT(MID(O26,FIND("!",O26)+1,LEN(O26)),1)="D",
    LEFT(O26,FIND("!",O26)) &amp; CHAR(CODE(LEFT(MID(O26,FIND("!",O26)+1,LEN(O26)),1))-1) &amp; MID(MID(O26,FIND("!",O26)+1,LEN(O26)),2,LEN(MID(O26,FIND("!",O26)+1,LEN(O26)))),
    LEFT(O26,FIND("!",O26)) &amp; CHAR(CODE(LEFT(MID(O26,FIND("!",O26)+1,LEN(O26)),1))-2) &amp; MID(MID(O26,FIND("!",O26)+1,LEN(O26)),2,LEN(MID(O26,FIND("!",O26)+1,LEN(O26))))
)</f>
        <v>Summary!C27</v>
      </c>
      <c r="N27" s="27"/>
      <c r="O27" s="27"/>
    </row>
    <row r="28" spans="9:15" x14ac:dyDescent="0.3">
      <c r="L28" s="27"/>
      <c r="M28" s="27"/>
      <c r="N28" s="27"/>
      <c r="O28" s="27"/>
    </row>
    <row r="29" spans="9:15" x14ac:dyDescent="0.3">
      <c r="L29" s="24" t="s">
        <v>7</v>
      </c>
      <c r="M29"/>
      <c r="N29"/>
      <c r="O29"/>
    </row>
    <row r="30" spans="9:15" x14ac:dyDescent="0.3">
      <c r="I30" s="24" t="s">
        <v>11</v>
      </c>
      <c r="J30" s="29" t="str" cm="1">
        <f t="array" aca="1" ref="J30" ca="1">INDIRECT(M30)</f>
        <v>Desktop</v>
      </c>
      <c r="K30" s="31" t="str" cm="1">
        <f t="array" aca="1" ref="K30" ca="1">INDIRECT(M31)</f>
        <v>Desktop</v>
      </c>
      <c r="L30" s="33">
        <f>MAX(Summary!D31:E32)</f>
        <v>0</v>
      </c>
      <c r="M30" s="25" t="str">
        <f>IF(LEFT(MID(N30,FIND("!",N30)+1,LEN(N30)),1)="D",
    LEFT(N30,FIND("!",N30)) &amp; CHAR(CODE(LEFT(MID(N30,FIND("!",N30)+1,LEN(N30)),1))-1) &amp; MID(MID(N30,FIND("!",N30)+1,LEN(N30)),2,LEN(MID(N30,FIND("!",N30)+1,LEN(N30)))),
    LEFT(N30,FIND("!",N30)) &amp; CHAR(CODE(LEFT(MID(N30,FIND("!",N30)+1,LEN(N30)),1))-2) &amp; MID(MID(N30,FIND("!",N30)+1,LEN(N30)),2,LEN(MID(N30,FIND("!",N30)+1,LEN(N30))))
)</f>
        <v>Summary!C31</v>
      </c>
      <c r="N30" s="27" t="str" cm="1">
        <f t="array" ref="N30">"Summary!" &amp; ADDRESS(MIN(IF(Summary!D31:E32=L30,ROW(Summary!D31:E32))), MIN(IF(Summary!D31:E32=L30,COLUMN(Summary!D31:E32))), 4)</f>
        <v>Summary!D31</v>
      </c>
      <c r="O30" s="27" t="str" cm="1">
        <f t="array" ref="O30">"Summary!" &amp; ADDRESS(MIN(IF(Summary!D31:E32=L31,ROW(Summary!D31:E32))), MIN(IF(Summary!D31:E32=L31,COLUMN(Summary!D31:E32))), 4)</f>
        <v>Summary!D31</v>
      </c>
    </row>
    <row r="31" spans="9:15" x14ac:dyDescent="0.3">
      <c r="I31" s="24" t="s">
        <v>13</v>
      </c>
      <c r="J31" s="29" t="str">
        <f ca="1"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K31" s="31" t="str">
        <f ca="1">IF(K30="Desktop",IF(Summary!D31=Summary!E31,"with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L31" s="32">
        <f>MIN(Summary!D31:E32)</f>
        <v>0</v>
      </c>
      <c r="M31" s="25" t="str">
        <f>IF(LEFT(MID(O30,FIND("!",O30)+1,LEN(O30)),1)="D",
    LEFT(O30,FIND("!",O30)) &amp; CHAR(CODE(LEFT(MID(O30,FIND("!",O30)+1,LEN(O30)),1))-1) &amp; MID(MID(O30,FIND("!",O30)+1,LEN(O30)),2,LEN(MID(O30,FIND("!",O30)+1,LEN(O30)))),
    LEFT(O30,FIND("!",O30)) &amp; CHAR(CODE(LEFT(MID(O30,FIND("!",O30)+1,LEN(O30)),1))-2) &amp; MID(MID(O30,FIND("!",O30)+1,LEN(O30)),2,LEN(MID(O30,FIND("!",O30)+1,LEN(O30))))
)</f>
        <v>Summary!C31</v>
      </c>
      <c r="N31" s="27"/>
      <c r="O31" s="27"/>
    </row>
    <row r="32" spans="9:15" x14ac:dyDescent="0.3">
      <c r="L32" s="27"/>
      <c r="M32" s="27"/>
      <c r="N32" s="27"/>
      <c r="O32" s="27"/>
    </row>
    <row r="33" spans="9:15" x14ac:dyDescent="0.3">
      <c r="L33" s="24" t="s">
        <v>7</v>
      </c>
      <c r="M33"/>
      <c r="N33"/>
      <c r="O33"/>
    </row>
    <row r="34" spans="9:15" x14ac:dyDescent="0.3">
      <c r="I34" s="24" t="s">
        <v>11</v>
      </c>
      <c r="J34" s="29" t="str" cm="1">
        <f t="array" aca="1" ref="J34" ca="1">INDIRECT(M34)</f>
        <v>Desktop</v>
      </c>
      <c r="K34" s="31" t="str" cm="1">
        <f t="array" aca="1" ref="K34" ca="1">INDIRECT(M35)</f>
        <v>Desktop</v>
      </c>
      <c r="L34" s="33">
        <f>MAX(Summary!D35:E36)</f>
        <v>0</v>
      </c>
      <c r="M34" s="25" t="str">
        <f>IF(LEFT(MID(N34,FIND("!",N34)+1,LEN(N34)),1)="D",
    LEFT(N34,FIND("!",N34)) &amp; CHAR(CODE(LEFT(MID(N34,FIND("!",N34)+1,LEN(N34)),1))-1) &amp; MID(MID(N34,FIND("!",N34)+1,LEN(N34)),2,LEN(MID(N34,FIND("!",N34)+1,LEN(N34)))),
    LEFT(N34,FIND("!",N34)) &amp; CHAR(CODE(LEFT(MID(N34,FIND("!",N34)+1,LEN(N34)),1))-2) &amp; MID(MID(N34,FIND("!",N34)+1,LEN(N34)),2,LEN(MID(N34,FIND("!",N34)+1,LEN(N34))))
)</f>
        <v>Summary!C35</v>
      </c>
      <c r="N34" s="27" t="str" cm="1">
        <f t="array" ref="N34">"Summary!" &amp; ADDRESS(MIN(IF(Summary!D35:E36=L34,ROW(Summary!D35:E36))), MIN(IF(Summary!D35:E36=L34,COLUMN(Summary!D35:E36))), 4)</f>
        <v>Summary!D35</v>
      </c>
      <c r="O34" s="27" t="str" cm="1">
        <f t="array" ref="O34">"Summary!" &amp; ADDRESS(MIN(IF(Summary!D35:E36=L35,ROW(Summary!D35:E36))), MIN(IF(Summary!D35:E36=L35,COLUMN(Summary!D35:E36))), 4)</f>
        <v>Summary!D35</v>
      </c>
    </row>
    <row r="35" spans="9:15" x14ac:dyDescent="0.3">
      <c r="I35" s="24" t="s">
        <v>13</v>
      </c>
      <c r="J35" s="29" t="str">
        <f ca="1"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K35" s="31" t="str">
        <f ca="1">IF(K34="Desktop",IF(Summary!D35=Summary!E35,"with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L35" s="32">
        <f>MIN(Summary!D35:E36)</f>
        <v>0</v>
      </c>
      <c r="M35" s="25" t="str">
        <f>IF(LEFT(MID(O34,FIND("!",O34)+1,LEN(O34)),1)="D",
    LEFT(O34,FIND("!",O34)) &amp; CHAR(CODE(LEFT(MID(O34,FIND("!",O34)+1,LEN(O34)),1))-1) &amp; MID(MID(O34,FIND("!",O34)+1,LEN(O34)),2,LEN(MID(O34,FIND("!",O34)+1,LEN(O34)))),
    LEFT(O34,FIND("!",O34)) &amp; CHAR(CODE(LEFT(MID(O34,FIND("!",O34)+1,LEN(O34)),1))-2) &amp; MID(MID(O34,FIND("!",O34)+1,LEN(O34)),2,LEN(MID(O34,FIND("!",O34)+1,LEN(O34))))
)</f>
        <v>Summary!C35</v>
      </c>
      <c r="N35" s="27"/>
      <c r="O35" s="27"/>
    </row>
    <row r="36" spans="9:15" x14ac:dyDescent="0.3">
      <c r="L36" s="27"/>
      <c r="M36" s="27"/>
      <c r="N36" s="27"/>
      <c r="O36" s="27"/>
    </row>
    <row r="37" spans="9:15" x14ac:dyDescent="0.3">
      <c r="L37" s="27"/>
      <c r="M37" s="27"/>
      <c r="N37" s="27"/>
      <c r="O37" s="27"/>
    </row>
    <row r="38" spans="9:15" x14ac:dyDescent="0.3">
      <c r="I38" s="24" t="s">
        <v>17</v>
      </c>
      <c r="J38" s="26" t="s">
        <v>5</v>
      </c>
      <c r="K38" s="26" t="s">
        <v>6</v>
      </c>
      <c r="L38" s="27"/>
      <c r="M38" s="27"/>
      <c r="N38" s="27"/>
      <c r="O38" s="27"/>
    </row>
    <row r="39" spans="9:15" x14ac:dyDescent="0.3">
      <c r="I39" s="24" t="s">
        <v>20</v>
      </c>
      <c r="J39" s="26">
        <f>MAX(formulaPerformanceSheet)</f>
        <v>0</v>
      </c>
      <c r="K39" s="26">
        <f>MIN(formulaPerformanceSheet)</f>
        <v>0</v>
      </c>
      <c r="L39" s="27"/>
      <c r="M39" s="27"/>
      <c r="N39" s="27"/>
      <c r="O39" s="27"/>
    </row>
    <row r="40" spans="9:15" x14ac:dyDescent="0.3">
      <c r="I40" s="24" t="s">
        <v>23</v>
      </c>
      <c r="J40" s="26" t="str" cm="1">
        <f t="array" ref="J40">ADDRESS(MIN(IF(Summary!D7:E36=J39,ROW(Summary!D7:E36))), MIN(IF(Summary!D7:E36=J39,COLUMN(Summary!D7:E36))), 4)</f>
        <v>D7</v>
      </c>
      <c r="K40" s="26" t="str" cm="1">
        <f t="array" ref="K40">ADDRESS(MIN(IF(Summary!D7:E36=K39,ROW(Summary!D7:E36))), MIN(IF(Summary!D7:E36=K39,COLUMN(Summary!D7:E36))), 4)</f>
        <v>D7</v>
      </c>
      <c r="L40" s="27"/>
      <c r="M40" s="27"/>
      <c r="N40" s="27"/>
      <c r="O40" s="27"/>
    </row>
    <row r="41" spans="9:15" x14ac:dyDescent="0.3">
      <c r="I41" s="24" t="s">
        <v>24</v>
      </c>
      <c r="J41" s="26" t="str">
        <f>"Summary!" &amp; IF(LEFT(J40,1)="D",
      CHAR(CODE(LEFT(J40,1)) + 1)&amp;MID(J40,2,99),
      J40)</f>
        <v>Summary!E7</v>
      </c>
      <c r="K41" s="26" t="str">
        <f>"Summary!" &amp; IF(LEFT(K40,1)="D",
      CHAR(CODE(LEFT(K40,1)) + 1)&amp;MID(K40,2,99),
      K40)</f>
        <v>Summary!E7</v>
      </c>
    </row>
    <row r="42" spans="9:15" x14ac:dyDescent="0.3">
      <c r="I42" s="24" t="s">
        <v>25</v>
      </c>
      <c r="J42" s="26" t="str" cm="1">
        <f t="array" aca="1" ref="J42" ca="1">IF(LEFT(J40,1)="D",
    IF(J39=INDIRECT(J41), "with and without cache", "with cache"),
 IF(LEFT(J40,1)="E",
        "without cache", "Incorrect cache location"
    )
)</f>
        <v>with and without cache</v>
      </c>
      <c r="K42" s="26" t="str" cm="1">
        <f t="array" aca="1" ref="K42" ca="1">IF(LEFT(K40,1)="D",
    IF(K39=INDIRECT(K41), "with and without cache", "with cache"),
 IF(LEFT(K40,1)="E",
        "without cache", "Incorrect cache location"
    )
)</f>
        <v>with and without cache</v>
      </c>
    </row>
    <row r="43" spans="9:15" x14ac:dyDescent="0.3">
      <c r="I43" s="24" t="s">
        <v>26</v>
      </c>
      <c r="J43" s="26" t="str">
        <f>"Summary!" &amp; IF(LEFT(J40,1)="D",
    CHAR(CODE(LEFT(J40,1)) - 1) &amp; MID(J40,2,99),
    CHAR(CODE(LEFT(J40,1)) - 2) &amp; MID(J40,2,99)
)</f>
        <v>Summary!C7</v>
      </c>
      <c r="K43" s="26" t="str">
        <f>"Summary!" &amp; IF(LEFT(K40,1)="D",
    CHAR(CODE(LEFT(K40,1)) - 1) &amp; MID(K40,2,99),
    CHAR(CODE(LEFT(K40,1)) - 2) &amp; MID(K40,2,99)
)</f>
        <v>Summary!C7</v>
      </c>
      <c r="L43" s="27"/>
      <c r="M43" s="27"/>
      <c r="N43" s="27"/>
      <c r="O43" s="27"/>
    </row>
    <row r="44" spans="9:15" x14ac:dyDescent="0.3">
      <c r="I44" s="24" t="s">
        <v>27</v>
      </c>
      <c r="J44" s="2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26" t="str">
        <f>"Summary!" &amp; CHAR(CODE(LEFT(K40,1))
    - IF(LEFT(K40,1)="E", 3,
        IF(LEFT(K40,1)="D", 2, 0)
    )
)
&amp; (MID(K40,2,99)
    - IF(LEFT(K40,1)="E", 1,
        IF(LEFT(K40,1)="D", 0, 0)
    )
)</f>
        <v>Summary!B7</v>
      </c>
    </row>
    <row r="45" spans="9:15" x14ac:dyDescent="0.3">
      <c r="I45" s="24" t="s">
        <v>28</v>
      </c>
      <c r="J45" s="26" t="str" cm="1">
        <f t="array" aca="1" ref="J45" ca="1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26" t="str" cm="1">
        <f t="array" aca="1" ref="K45" ca="1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</row>
    <row r="46" spans="9:15" x14ac:dyDescent="0.3">
      <c r="I46" s="24" t="s">
        <v>29</v>
      </c>
      <c r="J46" s="26" t="str">
        <f ca="1">RIGHT(J45, LEN(J45) - 3)</f>
        <v>Home</v>
      </c>
      <c r="K46" s="26" t="str">
        <f ca="1">RIGHT(K45, LEN(K45) - 3)</f>
        <v>Home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fd863-1f96-44b1-878a-247793b557e9">
      <Terms xmlns="http://schemas.microsoft.com/office/infopath/2007/PartnerControls"/>
    </lcf76f155ced4ddcb4097134ff3c332f>
    <TaxCatchAll xmlns="2d55a6ab-b9f4-4be6-b06a-2cc46fdc62a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39BB261075264EADE6FB64A6A44314" ma:contentTypeVersion="14" ma:contentTypeDescription="Create a new document." ma:contentTypeScope="" ma:versionID="f8545620b90e3ca3b4fa9c0eed4ef96d">
  <xsd:schema xmlns:xsd="http://www.w3.org/2001/XMLSchema" xmlns:xs="http://www.w3.org/2001/XMLSchema" xmlns:p="http://schemas.microsoft.com/office/2006/metadata/properties" xmlns:ns2="851fd863-1f96-44b1-878a-247793b557e9" xmlns:ns3="2d55a6ab-b9f4-4be6-b06a-2cc46fdc62a1" targetNamespace="http://schemas.microsoft.com/office/2006/metadata/properties" ma:root="true" ma:fieldsID="b2cedb268f8f7bfc874339ceeb7c9957" ns2:_="" ns3:_="">
    <xsd:import namespace="851fd863-1f96-44b1-878a-247793b557e9"/>
    <xsd:import namespace="2d55a6ab-b9f4-4be6-b06a-2cc46fdc62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fd863-1f96-44b1-878a-247793b557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005abf3-4838-43d7-bb46-334ff2019f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5a6ab-b9f4-4be6-b06a-2cc46fdc62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d81554-9ba6-4bb5-8f39-d6ab28eeb03d}" ma:internalName="TaxCatchAll" ma:showField="CatchAllData" ma:web="2d55a6ab-b9f4-4be6-b06a-2cc46fdc62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6E2078-3560-474E-801B-A28E523CFF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192765-7A29-43CE-B5C9-BF081AEF5ED1}">
  <ds:schemaRefs>
    <ds:schemaRef ds:uri="http://purl.org/dc/terms/"/>
    <ds:schemaRef ds:uri="2d55a6ab-b9f4-4be6-b06a-2cc46fdc62a1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851fd863-1f96-44b1-878a-247793b557e9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F5D0948-37AE-4A53-8E3A-E23AA9EDC4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fd863-1f96-44b1-878a-247793b557e9"/>
    <ds:schemaRef ds:uri="2d55a6ab-b9f4-4be6-b06a-2cc46fdc62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  <vt:lpstr>Formula_Sheet!formulaPerformanceSheet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Von Webster Labajo</dc:creator>
  <cp:keywords/>
  <dc:description/>
  <cp:lastModifiedBy>Von Webster D. Labajo</cp:lastModifiedBy>
  <cp:revision/>
  <dcterms:created xsi:type="dcterms:W3CDTF">2024-11-27T02:28:50Z</dcterms:created>
  <dcterms:modified xsi:type="dcterms:W3CDTF">2025-08-19T05:34:50Z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0x010100D539BB261075264EADE6FB64A6A44314</vt:lpwstr>
  </property>
</Properties>
</file>